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F Gaming FX505G\Downloads\"/>
    </mc:Choice>
  </mc:AlternateContent>
  <xr:revisionPtr revIDLastSave="0" documentId="8_{1F5C9BC6-0624-4F54-9212-084267F23ED9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Cover" sheetId="1" r:id="rId1"/>
    <sheet name="Test Plan" sheetId="2" r:id="rId2"/>
    <sheet name="Scope &amp; Risks" sheetId="3" r:id="rId3"/>
    <sheet name="Scenarios" sheetId="4" r:id="rId4"/>
    <sheet name="Test Cases" sheetId="5" r:id="rId5"/>
    <sheet name="RTM" sheetId="6" r:id="rId6"/>
    <sheet name="Execution Tracker" sheetId="7" r:id="rId7"/>
    <sheet name="Bug Tracker" sheetId="8" r:id="rId8"/>
    <sheet name="Dashboard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B16" i="9"/>
  <c r="E15" i="9"/>
  <c r="B15" i="9"/>
  <c r="E14" i="9"/>
  <c r="B14" i="9"/>
  <c r="E13" i="9"/>
  <c r="B13" i="9"/>
  <c r="G8" i="9"/>
  <c r="E8" i="9"/>
  <c r="A8" i="9"/>
  <c r="G4" i="9"/>
  <c r="E4" i="9"/>
  <c r="C4" i="9"/>
  <c r="A4" i="9"/>
  <c r="C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with your full name before submitting.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Example defect seeded for portfolio presentation. Replace with real findings if you run live tests.</t>
        </r>
      </text>
    </comment>
  </commentList>
</comments>
</file>

<file path=xl/sharedStrings.xml><?xml version="1.0" encoding="utf-8"?>
<sst xmlns="http://schemas.openxmlformats.org/spreadsheetml/2006/main" count="848" uniqueCount="367">
  <si>
    <t>Amazon.com Website Test Plan</t>
  </si>
  <si>
    <t>Portfolio-ready QA workbook | Functional, non-functional, traceability, execution, bugs, and dashboard</t>
  </si>
  <si>
    <t>Prepared By</t>
  </si>
  <si>
    <t>Your Name</t>
  </si>
  <si>
    <t>Document Version</t>
  </si>
  <si>
    <t>2.0</t>
  </si>
  <si>
    <t>Prepared Date</t>
  </si>
  <si>
    <t>System Under Test</t>
  </si>
  <si>
    <t>Amazon.com (public e-commerce website)</t>
  </si>
  <si>
    <t>Purpose</t>
  </si>
  <si>
    <t>Demonstrate structured QA planning, execution readiness, and reporting</t>
  </si>
  <si>
    <t>Workbook Contents</t>
  </si>
  <si>
    <t>1. Cover</t>
  </si>
  <si>
    <t>Overview and submission-facing summary</t>
  </si>
  <si>
    <t>2. Test Plan</t>
  </si>
  <si>
    <t>Scope, objectives, environments, entry/exit criteria, deliverables</t>
  </si>
  <si>
    <t>3. Scope &amp; Risks</t>
  </si>
  <si>
    <t>In scope / out of scope, assumptions, risks, mitigations</t>
  </si>
  <si>
    <t>4. Scenarios</t>
  </si>
  <si>
    <t>Scenario catalogue with module, type, priority, and automation fit</t>
  </si>
  <si>
    <t>5. Test Cases</t>
  </si>
  <si>
    <t>Detailed manual test cases with steps and expected results</t>
  </si>
  <si>
    <t>6. RTM</t>
  </si>
  <si>
    <t>Requirements traceability matrix</t>
  </si>
  <si>
    <t>7. Execution Tracker</t>
  </si>
  <si>
    <t>Execution planning and status tracking</t>
  </si>
  <si>
    <t>8. Bug Tracker</t>
  </si>
  <si>
    <t>Defect log with severity, priority, and aging</t>
  </si>
  <si>
    <t>9. Dashboard</t>
  </si>
  <si>
    <t>KPI summary and charts</t>
  </si>
  <si>
    <t>Tip: Replace placeholder values in blue-shaded input cells before sending as part of an application.</t>
  </si>
  <si>
    <t>Master Test Plan</t>
  </si>
  <si>
    <t>Document Control</t>
  </si>
  <si>
    <t>Item</t>
  </si>
  <si>
    <t>Details</t>
  </si>
  <si>
    <t>Owner</t>
  </si>
  <si>
    <t>Notes</t>
  </si>
  <si>
    <t>Project</t>
  </si>
  <si>
    <t>Amazon.com website testing</t>
  </si>
  <si>
    <t>QA</t>
  </si>
  <si>
    <t/>
  </si>
  <si>
    <t>Prepared by</t>
  </si>
  <si>
    <t>Version</t>
  </si>
  <si>
    <t>Review status</t>
  </si>
  <si>
    <t>Draft / Ready for submission</t>
  </si>
  <si>
    <t>Objectives</t>
  </si>
  <si>
    <t>Primary objective</t>
  </si>
  <si>
    <t>Validate that Amazon.com supports reliable product discovery, cart, checkout, account, and post-purchase experiences.</t>
  </si>
  <si>
    <t>Quality goals</t>
  </si>
  <si>
    <t>Accuracy, usability, responsiveness, compatibility, accessibility, and core-flow reliability.</t>
  </si>
  <si>
    <t>Test Scope</t>
  </si>
  <si>
    <t>In scope</t>
  </si>
  <si>
    <t>Home page, navigation, search, product detail page, cart, sign-in, checkout, order confirmation, order history, global UI, responsiveness, basic accessibility and security checks.</t>
  </si>
  <si>
    <t>Out of scope</t>
  </si>
  <si>
    <t>Internal admin tools, fulfillment systems, seller portals, payment processor internals, and deep API-only validation.</t>
  </si>
  <si>
    <t>Approach</t>
  </si>
  <si>
    <t>Functional testing</t>
  </si>
  <si>
    <t>Risk-based manual testing focused on high-value customer flows and edge cases.</t>
  </si>
  <si>
    <t>Regression strategy</t>
  </si>
  <si>
    <t>Smoke regression for core customer journey after each critical fix or release candidate.</t>
  </si>
  <si>
    <t>Automation strategy</t>
  </si>
  <si>
    <t>Automate stable paths first: login, search, add to cart, cart updates, and checkout happy path.</t>
  </si>
  <si>
    <t>Environment</t>
  </si>
  <si>
    <t>Platforms</t>
  </si>
  <si>
    <t>Windows, macOS, Android, iOS</t>
  </si>
  <si>
    <t>Browsers</t>
  </si>
  <si>
    <t>Chrome, Firefox, Edge, Safari (latest stable)</t>
  </si>
  <si>
    <t>Devices / views</t>
  </si>
  <si>
    <t>Desktop, tablet, and mobile responsive views</t>
  </si>
  <si>
    <t>Network</t>
  </si>
  <si>
    <t>Standard broadband and throttled mobile profile for UX checks</t>
  </si>
  <si>
    <t>Entry / Exit Criteria</t>
  </si>
  <si>
    <t>Entry criteria</t>
  </si>
  <si>
    <t>Environment available, test accounts ready, product catalog reachable, core flows not blocked, data prepared.</t>
  </si>
  <si>
    <t>Exit criteria</t>
  </si>
  <si>
    <t>All critical scenarios executed, blocker/critical defects addressed or accepted, summary metrics updated.</t>
  </si>
  <si>
    <t>Deliverables</t>
  </si>
  <si>
    <t>Outputs</t>
  </si>
  <si>
    <t>Test plan, scenario catalogue, detailed test cases, RTM, defect log, execution report, and final test summary.</t>
  </si>
  <si>
    <t>Scope, Assumptions, Risks &amp; Mitigations</t>
  </si>
  <si>
    <t>Scope Definition</t>
  </si>
  <si>
    <t>Category</t>
  </si>
  <si>
    <t>Area</t>
  </si>
  <si>
    <t>Included?</t>
  </si>
  <si>
    <t>Core flow</t>
  </si>
  <si>
    <t>Search and browse</t>
  </si>
  <si>
    <t>Yes</t>
  </si>
  <si>
    <t>High-priority customer path</t>
  </si>
  <si>
    <t>Product detail page</t>
  </si>
  <si>
    <t>Validate content, price, availability, CTA</t>
  </si>
  <si>
    <t>Cart and quantity updates</t>
  </si>
  <si>
    <t>Totals and persistence matter</t>
  </si>
  <si>
    <t>Checkout and order placement</t>
  </si>
  <si>
    <t>Business-critical</t>
  </si>
  <si>
    <t>Account</t>
  </si>
  <si>
    <t>Login / logout</t>
  </si>
  <si>
    <t>Credential and error handling</t>
  </si>
  <si>
    <t>Order history</t>
  </si>
  <si>
    <t>Post-purchase confidence</t>
  </si>
  <si>
    <t>Non-functional</t>
  </si>
  <si>
    <t>Responsive layout</t>
  </si>
  <si>
    <t>Desktop, tablet, mobile</t>
  </si>
  <si>
    <t>Accessibility baseline</t>
  </si>
  <si>
    <t>Keyboard, labels, contrast</t>
  </si>
  <si>
    <t>Integration</t>
  </si>
  <si>
    <t>Warehouse backend</t>
  </si>
  <si>
    <t>No</t>
  </si>
  <si>
    <t>External to public web validation</t>
  </si>
  <si>
    <t>Payment gateway internals</t>
  </si>
  <si>
    <t>Only observable front-end behavior</t>
  </si>
  <si>
    <t>Assumptions &amp; Risks</t>
  </si>
  <si>
    <t>Type</t>
  </si>
  <si>
    <t>Description</t>
  </si>
  <si>
    <t>Impact</t>
  </si>
  <si>
    <t>Mitigation</t>
  </si>
  <si>
    <t>Assumption</t>
  </si>
  <si>
    <t>Stable public pages are available during testing</t>
  </si>
  <si>
    <t>Medium</t>
  </si>
  <si>
    <t>Use low-risk windows and record environment conditions</t>
  </si>
  <si>
    <t>Guest or test-safe checkout path is accessible</t>
  </si>
  <si>
    <t>High</t>
  </si>
  <si>
    <t>Use non-destructive validation points and screenshots</t>
  </si>
  <si>
    <t>Risk</t>
  </si>
  <si>
    <t>Frequent UI changes may invalidate locators or steps</t>
  </si>
  <si>
    <t>Maintain locator strategy and prioritize stable checkpoints</t>
  </si>
  <si>
    <t>Dynamic pricing / recommendations may change content</t>
  </si>
  <si>
    <t>Validate behavior rather than exact merchandising results</t>
  </si>
  <si>
    <t>Third-party dependencies may intermittently fail</t>
  </si>
  <si>
    <t>Separate site defect vs external dependency issue</t>
  </si>
  <si>
    <t>Production payment flow may restrict full-order execution</t>
  </si>
  <si>
    <t>Use sandbox-safe checkpoints or order review boundary</t>
  </si>
  <si>
    <t>Scenario Catalogue</t>
  </si>
  <si>
    <t>Scenario ID</t>
  </si>
  <si>
    <t>Module</t>
  </si>
  <si>
    <t>Scenario Name</t>
  </si>
  <si>
    <t>Priority</t>
  </si>
  <si>
    <t>Automation?</t>
  </si>
  <si>
    <t>Status</t>
  </si>
  <si>
    <t>Business Value</t>
  </si>
  <si>
    <t>TS-001</t>
  </si>
  <si>
    <t>Navigation</t>
  </si>
  <si>
    <t>Open homepage and global menu</t>
  </si>
  <si>
    <t>Smoke</t>
  </si>
  <si>
    <t>Planned</t>
  </si>
  <si>
    <t>TS-002</t>
  </si>
  <si>
    <t>Search</t>
  </si>
  <si>
    <t>Search by keyword and review relevant results</t>
  </si>
  <si>
    <t>Functional</t>
  </si>
  <si>
    <t>TS-003</t>
  </si>
  <si>
    <t>Apply filters and sorting on results</t>
  </si>
  <si>
    <t>TS-004</t>
  </si>
  <si>
    <t>PDP</t>
  </si>
  <si>
    <t>Validate product detail page content and CTA</t>
  </si>
  <si>
    <t>TS-005</t>
  </si>
  <si>
    <t>Cart</t>
  </si>
  <si>
    <t>Add item to cart from PDP</t>
  </si>
  <si>
    <t>Critical</t>
  </si>
  <si>
    <t>TS-006</t>
  </si>
  <si>
    <t>Update item quantity and subtotal</t>
  </si>
  <si>
    <t>TS-007</t>
  </si>
  <si>
    <t>Remove item from cart</t>
  </si>
  <si>
    <t>TS-008</t>
  </si>
  <si>
    <t>Login with valid credentials</t>
  </si>
  <si>
    <t>TS-009</t>
  </si>
  <si>
    <t>Reject invalid credentials with clear error</t>
  </si>
  <si>
    <t>TS-010</t>
  </si>
  <si>
    <t>Checkout</t>
  </si>
  <si>
    <t>Proceed to checkout and validate shipping step</t>
  </si>
  <si>
    <t>Partial</t>
  </si>
  <si>
    <t>TS-011</t>
  </si>
  <si>
    <t>Validate payment selection and order review</t>
  </si>
  <si>
    <t>TS-012</t>
  </si>
  <si>
    <t>Order</t>
  </si>
  <si>
    <t>Verify order confirmation page</t>
  </si>
  <si>
    <t>TS-013</t>
  </si>
  <si>
    <t>Verify order history displays placed order</t>
  </si>
  <si>
    <t>TS-014</t>
  </si>
  <si>
    <t>Responsive</t>
  </si>
  <si>
    <t>Validate key flows on mobile viewport</t>
  </si>
  <si>
    <t>Compatibility</t>
  </si>
  <si>
    <t>TS-015</t>
  </si>
  <si>
    <t>Accessibility</t>
  </si>
  <si>
    <t>Keyboard navigation and label checks</t>
  </si>
  <si>
    <t>Detailed Test Cases</t>
  </si>
  <si>
    <t>TC ID</t>
  </si>
  <si>
    <t>Scenario</t>
  </si>
  <si>
    <t>Title</t>
  </si>
  <si>
    <t>Precondition</t>
  </si>
  <si>
    <t>Test Steps</t>
  </si>
  <si>
    <t>Expected Result</t>
  </si>
  <si>
    <t>TC-001</t>
  </si>
  <si>
    <t>Search by keyword</t>
  </si>
  <si>
    <t>User is on homepage</t>
  </si>
  <si>
    <t>1. Enter 'laptop' in search bar
2. Submit search</t>
  </si>
  <si>
    <t>Results page loads and shows relevant items for the query</t>
  </si>
  <si>
    <t>Not Run</t>
  </si>
  <si>
    <t>TC-002</t>
  </si>
  <si>
    <t>Apply category filter</t>
  </si>
  <si>
    <t>Search results are displayed</t>
  </si>
  <si>
    <t>1. Select a category filter
2. Observe results</t>
  </si>
  <si>
    <t>Result count and items update to reflect chosen filter</t>
  </si>
  <si>
    <t>TC-003</t>
  </si>
  <si>
    <t>Apply sort option</t>
  </si>
  <si>
    <t>1. Choose sort by Price: Low to High
2. Review first results</t>
  </si>
  <si>
    <t>Displayed product order changes according to selected sort</t>
  </si>
  <si>
    <t>TC-004</t>
  </si>
  <si>
    <t>Validate product details</t>
  </si>
  <si>
    <t>A product listing is available</t>
  </si>
  <si>
    <t>1. Open a product
2. Review title, image, price, availability, shipping info</t>
  </si>
  <si>
    <t>PDP shows complete, accurate, and readable product information</t>
  </si>
  <si>
    <t>TC-005</t>
  </si>
  <si>
    <t>Add to cart from PDP</t>
  </si>
  <si>
    <t>Product is purchasable</t>
  </si>
  <si>
    <t>1. Click Add to Cart
2. Open cart</t>
  </si>
  <si>
    <t>Item is added, cart count updates, and product appears in cart</t>
  </si>
  <si>
    <t>TC-006</t>
  </si>
  <si>
    <t>Update quantity</t>
  </si>
  <si>
    <t>Cart contains one item</t>
  </si>
  <si>
    <t>1. Change quantity from 1 to 2</t>
  </si>
  <si>
    <t>Quantity updates and subtotal recalculates correctly</t>
  </si>
  <si>
    <t>TC-007</t>
  </si>
  <si>
    <t>1. Remove cart item</t>
  </si>
  <si>
    <t>Item is removed and subtotal updates accordingly</t>
  </si>
  <si>
    <t>TC-008</t>
  </si>
  <si>
    <t>Valid login</t>
  </si>
  <si>
    <t>Known valid credentials are available</t>
  </si>
  <si>
    <t>1. Open sign-in page
2. Enter valid credentials
3. Submit</t>
  </si>
  <si>
    <t>User is authenticated and routed to the signed-in experience</t>
  </si>
  <si>
    <t>TC-009</t>
  </si>
  <si>
    <t>Invalid login</t>
  </si>
  <si>
    <t>User is logged out</t>
  </si>
  <si>
    <t>1. Enter invalid password
2. Submit</t>
  </si>
  <si>
    <t>Authentication is rejected and a clear error message is shown</t>
  </si>
  <si>
    <t>TC-010</t>
  </si>
  <si>
    <t>Proceed to checkout</t>
  </si>
  <si>
    <t>Cart contains an available item</t>
  </si>
  <si>
    <t>1. Click Proceed to Checkout
2. Continue to shipping</t>
  </si>
  <si>
    <t>Checkout starts successfully and required shipping fields are available</t>
  </si>
  <si>
    <t>TC-011</t>
  </si>
  <si>
    <t>Validate required shipping fields</t>
  </si>
  <si>
    <t>Checkout shipping step is open</t>
  </si>
  <si>
    <t>1. Leave mandatory fields empty
2. Try to continue</t>
  </si>
  <si>
    <t>Required validation messages appear and continuation is blocked</t>
  </si>
  <si>
    <t>TC-012</t>
  </si>
  <si>
    <t>Select payment method</t>
  </si>
  <si>
    <t>Shipping step completed</t>
  </si>
  <si>
    <t>1. Select a payment method
2. Continue to review</t>
  </si>
  <si>
    <t>Selected payment option is retained on review step</t>
  </si>
  <si>
    <t>TC-013</t>
  </si>
  <si>
    <t>Review order total</t>
  </si>
  <si>
    <t>Review step is visible</t>
  </si>
  <si>
    <t>1. Confirm item price, shipping, tax, total</t>
  </si>
  <si>
    <t>Order summary displays consistent and correctly calculated totals</t>
  </si>
  <si>
    <t>TC-014</t>
  </si>
  <si>
    <t>Confirm order page</t>
  </si>
  <si>
    <t>Order placement or review boundary is reached</t>
  </si>
  <si>
    <t>1. Complete final action or validate final checkpoint</t>
  </si>
  <si>
    <t>Confirmation page or completion checkpoint is displayed with order reference</t>
  </si>
  <si>
    <t>TC-015</t>
  </si>
  <si>
    <t>Verify order history</t>
  </si>
  <si>
    <t>Signed-in user has a recent order</t>
  </si>
  <si>
    <t>1. Open Orders page</t>
  </si>
  <si>
    <t>Recent order appears with correct summary details</t>
  </si>
  <si>
    <t>TC-016</t>
  </si>
  <si>
    <t>Mobile viewport smoke</t>
  </si>
  <si>
    <t>Mobile viewport is enabled</t>
  </si>
  <si>
    <t>1. Repeat homepage, search, PDP, cart smoke flow on mobile</t>
  </si>
  <si>
    <t>Key actions remain usable and visually stable on mobile</t>
  </si>
  <si>
    <t>TC-017</t>
  </si>
  <si>
    <t>Keyboard navigation</t>
  </si>
  <si>
    <t>Keyboard-only navigation is used</t>
  </si>
  <si>
    <t>1. Tab through header, search, filters, cart, forms</t>
  </si>
  <si>
    <t>Focus order is visible and interactive elements are reachable</t>
  </si>
  <si>
    <t>Requirements Traceability Matrix</t>
  </si>
  <si>
    <t>Requirement ID</t>
  </si>
  <si>
    <t>Requirement / Validation Area</t>
  </si>
  <si>
    <t>Test Case ID</t>
  </si>
  <si>
    <t>Coverage Status</t>
  </si>
  <si>
    <t>REQ-001</t>
  </si>
  <si>
    <t>Users can discover products using search</t>
  </si>
  <si>
    <t>Covered</t>
  </si>
  <si>
    <t>REQ-002</t>
  </si>
  <si>
    <t>Users can refine results using filters and sorting</t>
  </si>
  <si>
    <t>TC-002 / TC-003</t>
  </si>
  <si>
    <t>REQ-003</t>
  </si>
  <si>
    <t>Users can review accurate product details before buying</t>
  </si>
  <si>
    <t>REQ-004</t>
  </si>
  <si>
    <t>Users can add items to cart</t>
  </si>
  <si>
    <t>REQ-005</t>
  </si>
  <si>
    <t>Users can update or remove cart items</t>
  </si>
  <si>
    <t>TS-006 / TS-007</t>
  </si>
  <si>
    <t>TC-006 / TC-007</t>
  </si>
  <si>
    <t>REQ-006</t>
  </si>
  <si>
    <t>Users can sign in successfully</t>
  </si>
  <si>
    <t>REQ-007</t>
  </si>
  <si>
    <t>Users receive proper feedback for invalid login</t>
  </si>
  <si>
    <t>REQ-008</t>
  </si>
  <si>
    <t>Users can proceed through checkout shipping step</t>
  </si>
  <si>
    <t>TC-010 / TC-011</t>
  </si>
  <si>
    <t>REQ-009</t>
  </si>
  <si>
    <t>Users can select payment and review totals</t>
  </si>
  <si>
    <t>TC-012 / TC-013</t>
  </si>
  <si>
    <t>REQ-010</t>
  </si>
  <si>
    <t>Users can confirm and view placed order</t>
  </si>
  <si>
    <t>TS-012 / TS-013</t>
  </si>
  <si>
    <t>TC-014 / TC-015</t>
  </si>
  <si>
    <t>REQ-011</t>
  </si>
  <si>
    <t>Core flow remains usable on mobile</t>
  </si>
  <si>
    <t>REQ-012</t>
  </si>
  <si>
    <t>Baseline keyboard accessibility works</t>
  </si>
  <si>
    <t>Execution Tracker</t>
  </si>
  <si>
    <t>Cycle</t>
  </si>
  <si>
    <t>Assigned To</t>
  </si>
  <si>
    <t>Execution Date</t>
  </si>
  <si>
    <t>Result</t>
  </si>
  <si>
    <t>Comments</t>
  </si>
  <si>
    <t>Cycle 1</t>
  </si>
  <si>
    <t>Pass</t>
  </si>
  <si>
    <t>Relevant results displayed</t>
  </si>
  <si>
    <t>Filter applied correctly</t>
  </si>
  <si>
    <t>Blocked</t>
  </si>
  <si>
    <t>Sort changed but price labels inconsistent</t>
  </si>
  <si>
    <t>PDP content displayed</t>
  </si>
  <si>
    <t>Item added successfully</t>
  </si>
  <si>
    <t>Fail</t>
  </si>
  <si>
    <t>Subtotal did not update immediately</t>
  </si>
  <si>
    <t>Remove flow working</t>
  </si>
  <si>
    <t>Valid login successful</t>
  </si>
  <si>
    <t>Error message shown</t>
  </si>
  <si>
    <t>Checkout reachable</t>
  </si>
  <si>
    <t>Required shipping validation shown</t>
  </si>
  <si>
    <t>Payment option retained</t>
  </si>
  <si>
    <t>Order total mismatch vs line items</t>
  </si>
  <si>
    <t>Confirmation step unavailable due to environment constraint</t>
  </si>
  <si>
    <t>Dependent on order creation</t>
  </si>
  <si>
    <t>Mobile smoke acceptable</t>
  </si>
  <si>
    <t>Keyboard focus visible</t>
  </si>
  <si>
    <t>Bug Tracker</t>
  </si>
  <si>
    <t>Bug ID</t>
  </si>
  <si>
    <t>Linked TC</t>
  </si>
  <si>
    <t>Summary</t>
  </si>
  <si>
    <t>Severity</t>
  </si>
  <si>
    <t>Reported</t>
  </si>
  <si>
    <t>Aging (Days)</t>
  </si>
  <si>
    <t>Repro?</t>
  </si>
  <si>
    <t>BUG-001</t>
  </si>
  <si>
    <t>Subtotal does not refresh immediately after quantity change</t>
  </si>
  <si>
    <t>Open</t>
  </si>
  <si>
    <t>Dev</t>
  </si>
  <si>
    <t>Observed after changing qty from 1 to 2</t>
  </si>
  <si>
    <t>BUG-002</t>
  </si>
  <si>
    <t>Order total mismatch between line items and final summary</t>
  </si>
  <si>
    <t>Potential pricing/tax calculation issue</t>
  </si>
  <si>
    <t>BUG-003</t>
  </si>
  <si>
    <t>Confirmation page blocked by environment restriction</t>
  </si>
  <si>
    <t>Needs safe test path</t>
  </si>
  <si>
    <t>QA Dashboard</t>
  </si>
  <si>
    <t>Total Test Cases</t>
  </si>
  <si>
    <t>Passed</t>
  </si>
  <si>
    <t>Failed</t>
  </si>
  <si>
    <t>Execution Progress</t>
  </si>
  <si>
    <t>Open Bugs</t>
  </si>
  <si>
    <t>Critical Bugs</t>
  </si>
  <si>
    <t>Count</t>
  </si>
  <si>
    <t>Open Count</t>
  </si>
  <si>
    <t>Low</t>
  </si>
  <si>
    <t>Alain Joseph A. Velasquez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</si>
</sst>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FFFFFF"/>
      <name val="Calibri"/>
    </font>
    <font>
      <b/>
      <sz val="11"/>
      <color rgb="FF1F4E78"/>
      <name val="Calibri"/>
    </font>
    <font>
      <b/>
      <sz val="12"/>
      <color rgb="FFFFFFFF"/>
      <name val="Calibri"/>
    </font>
    <font>
      <i/>
      <sz val="11"/>
      <color rgb="FF7F6000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8"/>
      <color rgb="FF000000"/>
      <name val="Calibri"/>
    </font>
    <font>
      <sz val="10"/>
      <color rgb="FF0000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DE9E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E4DFEC"/>
      </patternFill>
    </fill>
    <fill>
      <patternFill patternType="solid">
        <fgColor rgb="FFF3F6F9"/>
      </patternFill>
    </fill>
  </fills>
  <borders count="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left" vertical="top" wrapText="1"/>
    </xf>
    <xf numFmtId="0" fontId="0" fillId="15" borderId="1" xfId="0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4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top" wrapText="1"/>
    </xf>
    <xf numFmtId="0" fontId="4" fillId="2" borderId="8" xfId="0" applyFont="1" applyFill="1" applyBorder="1" applyAlignment="1">
      <alignment horizontal="left" vertical="center"/>
    </xf>
    <xf numFmtId="0" fontId="0" fillId="0" borderId="5" xfId="0" applyBorder="1"/>
    <xf numFmtId="164" fontId="8" fillId="13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8" fillId="1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12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4B084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Execution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Count</c:v>
                </c:pt>
              </c:strCache>
            </c:strRef>
          </c:tx>
          <c:spPr>
            <a:ln/>
          </c:spPr>
          <c:invertIfNegative val="1"/>
          <c:cat>
            <c:strRef>
              <c:f>Dashboard!$A$13:$A$16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12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F-40AF-A7AA-093B8D828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Open Bugs by Severity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Dashboard!$E$12</c:f>
              <c:strCache>
                <c:ptCount val="1"/>
                <c:pt idx="0">
                  <c:v>Open Count</c:v>
                </c:pt>
              </c:strCache>
            </c:strRef>
          </c:tx>
          <c:spPr>
            <a:ln/>
          </c:spPr>
          <c:cat>
            <c:strRef>
              <c:f>Dashboard!$D$13:$D$16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Dashboard!$E$13:$E$16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D-49BA-9EA2-C8D89280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0CF46C3-BFDF-676A-F7D1-82C953965E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487680</xdr:colOff>
      <xdr:row>38</xdr:row>
      <xdr:rowOff>167640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F8EA25B-0F2D-2CAE-0160-723EBE4F3F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4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workbookViewId="0">
      <selection activeCell="E21" sqref="E21"/>
    </sheetView>
  </sheetViews>
  <sheetFormatPr defaultRowHeight="14.4" x14ac:dyDescent="0.3"/>
  <cols>
    <col min="1" max="1" width="3" customWidth="1"/>
    <col min="2" max="2" width="18.109375" bestFit="1" customWidth="1"/>
    <col min="3" max="3" width="55.5546875" bestFit="1" customWidth="1"/>
    <col min="4" max="7" width="22" customWidth="1"/>
    <col min="8" max="8" width="3" customWidth="1"/>
  </cols>
  <sheetData>
    <row r="1" spans="1:7" ht="22.05" customHeight="1" x14ac:dyDescent="0.3"/>
    <row r="2" spans="1:7" ht="22.05" customHeight="1" x14ac:dyDescent="0.3">
      <c r="B2" s="16" t="s">
        <v>0</v>
      </c>
      <c r="C2" s="17"/>
      <c r="D2" s="17"/>
      <c r="E2" s="17"/>
      <c r="F2" s="17"/>
      <c r="G2" s="17"/>
    </row>
    <row r="3" spans="1:7" ht="22.05" customHeight="1" x14ac:dyDescent="0.3">
      <c r="B3" s="17"/>
      <c r="C3" s="17"/>
      <c r="D3" s="17"/>
      <c r="E3" s="17"/>
      <c r="F3" s="17"/>
      <c r="G3" s="17"/>
    </row>
    <row r="4" spans="1:7" ht="22.05" customHeight="1" x14ac:dyDescent="0.3">
      <c r="B4" s="17"/>
      <c r="C4" s="17"/>
      <c r="D4" s="17"/>
      <c r="E4" s="17"/>
      <c r="F4" s="17"/>
      <c r="G4" s="17"/>
    </row>
    <row r="5" spans="1:7" ht="22.05" customHeight="1" x14ac:dyDescent="0.3">
      <c r="B5" s="19" t="s">
        <v>1</v>
      </c>
      <c r="C5" s="17"/>
      <c r="D5" s="17"/>
      <c r="E5" s="17"/>
      <c r="F5" s="17"/>
      <c r="G5" s="17"/>
    </row>
    <row r="6" spans="1:7" ht="22.05" customHeight="1" x14ac:dyDescent="0.3">
      <c r="B6" s="17"/>
      <c r="C6" s="17"/>
      <c r="D6" s="17"/>
      <c r="E6" s="17"/>
      <c r="F6" s="17"/>
      <c r="G6" s="17"/>
    </row>
    <row r="7" spans="1:7" ht="22.05" customHeight="1" x14ac:dyDescent="0.3"/>
    <row r="8" spans="1:7" ht="22.05" customHeight="1" x14ac:dyDescent="0.3">
      <c r="B8" s="1" t="s">
        <v>2</v>
      </c>
      <c r="C8" s="18" t="s">
        <v>366</v>
      </c>
      <c r="D8" s="14"/>
      <c r="E8" s="14"/>
      <c r="F8" s="15"/>
    </row>
    <row r="9" spans="1:7" ht="22.05" customHeight="1" x14ac:dyDescent="0.3">
      <c r="B9" s="1" t="s">
        <v>4</v>
      </c>
      <c r="C9" s="13" t="s">
        <v>5</v>
      </c>
      <c r="D9" s="14"/>
      <c r="E9" s="14"/>
      <c r="F9" s="15"/>
    </row>
    <row r="10" spans="1:7" ht="22.05" customHeight="1" x14ac:dyDescent="0.3">
      <c r="B10" s="1" t="s">
        <v>6</v>
      </c>
      <c r="C10" s="35">
        <v>45852</v>
      </c>
      <c r="D10" s="14"/>
      <c r="E10" s="14"/>
      <c r="F10" s="15"/>
    </row>
    <row r="11" spans="1:7" ht="22.05" customHeight="1" x14ac:dyDescent="0.3">
      <c r="B11" s="1" t="s">
        <v>7</v>
      </c>
      <c r="C11" s="13" t="s">
        <v>8</v>
      </c>
      <c r="D11" s="14"/>
      <c r="E11" s="14"/>
      <c r="F11" s="15"/>
    </row>
    <row r="12" spans="1:7" ht="22.05" customHeight="1" x14ac:dyDescent="0.3">
      <c r="B12" s="1" t="s">
        <v>9</v>
      </c>
      <c r="C12" s="13" t="s">
        <v>10</v>
      </c>
      <c r="D12" s="14"/>
      <c r="E12" s="14"/>
      <c r="F12" s="15"/>
    </row>
    <row r="13" spans="1:7" ht="22.05" customHeight="1" x14ac:dyDescent="0.3"/>
    <row r="14" spans="1:7" ht="22.05" customHeight="1" x14ac:dyDescent="0.3"/>
    <row r="15" spans="1:7" ht="22.05" customHeight="1" x14ac:dyDescent="0.3">
      <c r="A15" s="21" t="s">
        <v>11</v>
      </c>
      <c r="B15" s="22"/>
      <c r="C15" s="22"/>
      <c r="D15" s="22"/>
      <c r="E15" s="22"/>
      <c r="F15" s="22"/>
    </row>
    <row r="16" spans="1:7" ht="32.4" customHeight="1" x14ac:dyDescent="0.3">
      <c r="B16" s="3" t="s">
        <v>12</v>
      </c>
      <c r="C16" s="4" t="s">
        <v>13</v>
      </c>
      <c r="D16" s="2"/>
      <c r="E16" s="2"/>
      <c r="F16" s="2"/>
    </row>
    <row r="17" spans="2:7" ht="21.6" customHeight="1" x14ac:dyDescent="0.3">
      <c r="B17" s="3" t="s">
        <v>14</v>
      </c>
      <c r="C17" s="4" t="s">
        <v>15</v>
      </c>
      <c r="D17" s="2"/>
      <c r="E17" s="2"/>
      <c r="F17" s="2"/>
    </row>
    <row r="18" spans="2:7" ht="22.05" customHeight="1" x14ac:dyDescent="0.3">
      <c r="B18" s="3" t="s">
        <v>16</v>
      </c>
      <c r="C18" s="4" t="s">
        <v>17</v>
      </c>
      <c r="D18" s="2"/>
      <c r="E18" s="2"/>
      <c r="F18" s="2"/>
    </row>
    <row r="19" spans="2:7" ht="22.05" customHeight="1" x14ac:dyDescent="0.3">
      <c r="B19" s="3" t="s">
        <v>18</v>
      </c>
      <c r="C19" s="4" t="s">
        <v>19</v>
      </c>
      <c r="D19" s="2"/>
      <c r="E19" s="2"/>
      <c r="F19" s="2"/>
    </row>
    <row r="20" spans="2:7" ht="22.05" customHeight="1" x14ac:dyDescent="0.3">
      <c r="B20" s="3" t="s">
        <v>20</v>
      </c>
      <c r="C20" s="4" t="s">
        <v>21</v>
      </c>
      <c r="D20" s="2"/>
      <c r="E20" s="2"/>
      <c r="F20" s="2"/>
    </row>
    <row r="21" spans="2:7" ht="22.05" customHeight="1" x14ac:dyDescent="0.3">
      <c r="B21" s="3" t="s">
        <v>22</v>
      </c>
      <c r="C21" s="4" t="s">
        <v>23</v>
      </c>
      <c r="D21" s="2"/>
      <c r="E21" s="2"/>
      <c r="F21" s="2"/>
    </row>
    <row r="22" spans="2:7" ht="22.05" customHeight="1" x14ac:dyDescent="0.3">
      <c r="B22" s="3" t="s">
        <v>24</v>
      </c>
      <c r="C22" s="4" t="s">
        <v>25</v>
      </c>
      <c r="D22" s="2"/>
      <c r="E22" s="2"/>
      <c r="F22" s="2"/>
    </row>
    <row r="23" spans="2:7" ht="22.05" customHeight="1" x14ac:dyDescent="0.3">
      <c r="B23" s="3" t="s">
        <v>26</v>
      </c>
      <c r="C23" s="4" t="s">
        <v>27</v>
      </c>
      <c r="D23" s="2"/>
      <c r="E23" s="2"/>
      <c r="F23" s="2"/>
    </row>
    <row r="24" spans="2:7" ht="22.05" customHeight="1" x14ac:dyDescent="0.3">
      <c r="B24" s="3" t="s">
        <v>28</v>
      </c>
      <c r="C24" s="4" t="s">
        <v>29</v>
      </c>
      <c r="D24" s="2"/>
      <c r="E24" s="2"/>
      <c r="F24" s="2"/>
    </row>
    <row r="25" spans="2:7" ht="22.05" customHeight="1" x14ac:dyDescent="0.3"/>
    <row r="26" spans="2:7" ht="22.05" customHeight="1" x14ac:dyDescent="0.3">
      <c r="B26" s="20" t="s">
        <v>30</v>
      </c>
      <c r="C26" s="17"/>
      <c r="D26" s="17"/>
      <c r="E26" s="17"/>
      <c r="F26" s="17"/>
      <c r="G26" s="17"/>
    </row>
    <row r="27" spans="2:7" ht="22.05" customHeight="1" x14ac:dyDescent="0.3"/>
  </sheetData>
  <mergeCells count="9">
    <mergeCell ref="B26:G26"/>
    <mergeCell ref="C11:F11"/>
    <mergeCell ref="C10:F10"/>
    <mergeCell ref="A15:F15"/>
    <mergeCell ref="C9:F9"/>
    <mergeCell ref="B2:G4"/>
    <mergeCell ref="C8:F8"/>
    <mergeCell ref="B5:G6"/>
    <mergeCell ref="C12:F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showGridLines="0" topLeftCell="A22" workbookViewId="0">
      <selection activeCell="A38" sqref="A38:D38"/>
    </sheetView>
  </sheetViews>
  <sheetFormatPr defaultRowHeight="14.4" x14ac:dyDescent="0.3"/>
  <cols>
    <col min="1" max="1" width="24" customWidth="1"/>
    <col min="2" max="2" width="60" customWidth="1"/>
    <col min="3" max="3" width="24" customWidth="1"/>
    <col min="4" max="4" width="22" customWidth="1"/>
  </cols>
  <sheetData>
    <row r="1" spans="1:4" x14ac:dyDescent="0.3">
      <c r="A1" s="16" t="s">
        <v>31</v>
      </c>
      <c r="B1" s="17"/>
      <c r="C1" s="17"/>
      <c r="D1" s="17"/>
    </row>
    <row r="3" spans="1:4" ht="15.6" x14ac:dyDescent="0.3">
      <c r="A3" s="21" t="s">
        <v>32</v>
      </c>
      <c r="B3" s="22"/>
      <c r="C3" s="22"/>
      <c r="D3" s="22"/>
    </row>
    <row r="4" spans="1:4" x14ac:dyDescent="0.3">
      <c r="A4" s="5" t="s">
        <v>33</v>
      </c>
      <c r="B4" s="5" t="s">
        <v>34</v>
      </c>
      <c r="C4" s="5" t="s">
        <v>35</v>
      </c>
      <c r="D4" s="5" t="s">
        <v>36</v>
      </c>
    </row>
    <row r="5" spans="1:4" x14ac:dyDescent="0.3">
      <c r="A5" s="6" t="s">
        <v>37</v>
      </c>
      <c r="B5" s="6" t="s">
        <v>38</v>
      </c>
      <c r="C5" s="6" t="s">
        <v>39</v>
      </c>
      <c r="D5" s="6" t="s">
        <v>40</v>
      </c>
    </row>
    <row r="6" spans="1:4" x14ac:dyDescent="0.3">
      <c r="A6" s="6" t="s">
        <v>41</v>
      </c>
      <c r="B6" s="6" t="s">
        <v>3</v>
      </c>
      <c r="C6" s="6" t="s">
        <v>39</v>
      </c>
      <c r="D6" s="6" t="s">
        <v>40</v>
      </c>
    </row>
    <row r="7" spans="1:4" x14ac:dyDescent="0.3">
      <c r="A7" s="6" t="s">
        <v>42</v>
      </c>
      <c r="B7" s="6" t="s">
        <v>5</v>
      </c>
      <c r="C7" s="6" t="s">
        <v>39</v>
      </c>
      <c r="D7" s="6" t="s">
        <v>40</v>
      </c>
    </row>
    <row r="8" spans="1:4" x14ac:dyDescent="0.3">
      <c r="A8" s="6" t="s">
        <v>43</v>
      </c>
      <c r="B8" s="6" t="s">
        <v>44</v>
      </c>
      <c r="C8" s="6" t="s">
        <v>39</v>
      </c>
      <c r="D8" s="6" t="s">
        <v>40</v>
      </c>
    </row>
    <row r="10" spans="1:4" ht="15.6" x14ac:dyDescent="0.3">
      <c r="A10" s="21" t="s">
        <v>45</v>
      </c>
      <c r="B10" s="22"/>
      <c r="C10" s="22"/>
      <c r="D10" s="22"/>
    </row>
    <row r="11" spans="1:4" x14ac:dyDescent="0.3">
      <c r="A11" s="5" t="s">
        <v>33</v>
      </c>
      <c r="B11" s="5" t="s">
        <v>34</v>
      </c>
      <c r="C11" s="5" t="s">
        <v>35</v>
      </c>
      <c r="D11" s="5" t="s">
        <v>36</v>
      </c>
    </row>
    <row r="12" spans="1:4" ht="27.6" x14ac:dyDescent="0.3">
      <c r="A12" s="6" t="s">
        <v>46</v>
      </c>
      <c r="B12" s="6" t="s">
        <v>47</v>
      </c>
      <c r="C12" s="6" t="s">
        <v>39</v>
      </c>
      <c r="D12" s="6" t="s">
        <v>40</v>
      </c>
    </row>
    <row r="13" spans="1:4" ht="27.6" x14ac:dyDescent="0.3">
      <c r="A13" s="6" t="s">
        <v>48</v>
      </c>
      <c r="B13" s="6" t="s">
        <v>49</v>
      </c>
      <c r="C13" s="6" t="s">
        <v>39</v>
      </c>
      <c r="D13" s="6" t="s">
        <v>40</v>
      </c>
    </row>
    <row r="15" spans="1:4" ht="15.6" x14ac:dyDescent="0.3">
      <c r="A15" s="21" t="s">
        <v>50</v>
      </c>
      <c r="B15" s="22"/>
      <c r="C15" s="22"/>
      <c r="D15" s="22"/>
    </row>
    <row r="16" spans="1:4" x14ac:dyDescent="0.3">
      <c r="A16" s="5" t="s">
        <v>33</v>
      </c>
      <c r="B16" s="5" t="s">
        <v>34</v>
      </c>
      <c r="C16" s="5" t="s">
        <v>35</v>
      </c>
      <c r="D16" s="5" t="s">
        <v>36</v>
      </c>
    </row>
    <row r="17" spans="1:4" ht="41.4" x14ac:dyDescent="0.3">
      <c r="A17" s="6" t="s">
        <v>51</v>
      </c>
      <c r="B17" s="6" t="s">
        <v>52</v>
      </c>
      <c r="C17" s="6" t="s">
        <v>39</v>
      </c>
      <c r="D17" s="6" t="s">
        <v>40</v>
      </c>
    </row>
    <row r="18" spans="1:4" ht="27.6" x14ac:dyDescent="0.3">
      <c r="A18" s="6" t="s">
        <v>53</v>
      </c>
      <c r="B18" s="6" t="s">
        <v>54</v>
      </c>
      <c r="C18" s="6" t="s">
        <v>39</v>
      </c>
      <c r="D18" s="6" t="s">
        <v>40</v>
      </c>
    </row>
    <row r="20" spans="1:4" ht="15.6" x14ac:dyDescent="0.3">
      <c r="A20" s="21" t="s">
        <v>55</v>
      </c>
      <c r="B20" s="22"/>
      <c r="C20" s="22"/>
      <c r="D20" s="22"/>
    </row>
    <row r="21" spans="1:4" x14ac:dyDescent="0.3">
      <c r="A21" s="5" t="s">
        <v>33</v>
      </c>
      <c r="B21" s="5" t="s">
        <v>34</v>
      </c>
      <c r="C21" s="5" t="s">
        <v>35</v>
      </c>
      <c r="D21" s="5" t="s">
        <v>36</v>
      </c>
    </row>
    <row r="22" spans="1:4" ht="27.6" x14ac:dyDescent="0.3">
      <c r="A22" s="6" t="s">
        <v>56</v>
      </c>
      <c r="B22" s="6" t="s">
        <v>57</v>
      </c>
      <c r="C22" s="6" t="s">
        <v>39</v>
      </c>
      <c r="D22" s="6" t="s">
        <v>40</v>
      </c>
    </row>
    <row r="23" spans="1:4" ht="27.6" x14ac:dyDescent="0.3">
      <c r="A23" s="6" t="s">
        <v>58</v>
      </c>
      <c r="B23" s="6" t="s">
        <v>59</v>
      </c>
      <c r="C23" s="6" t="s">
        <v>39</v>
      </c>
      <c r="D23" s="6" t="s">
        <v>40</v>
      </c>
    </row>
    <row r="24" spans="1:4" ht="27.6" x14ac:dyDescent="0.3">
      <c r="A24" s="6" t="s">
        <v>60</v>
      </c>
      <c r="B24" s="6" t="s">
        <v>61</v>
      </c>
      <c r="C24" s="6" t="s">
        <v>39</v>
      </c>
      <c r="D24" s="6" t="s">
        <v>40</v>
      </c>
    </row>
    <row r="26" spans="1:4" ht="15.6" x14ac:dyDescent="0.3">
      <c r="A26" s="21" t="s">
        <v>62</v>
      </c>
      <c r="B26" s="22"/>
      <c r="C26" s="22"/>
      <c r="D26" s="22"/>
    </row>
    <row r="27" spans="1:4" x14ac:dyDescent="0.3">
      <c r="A27" s="5" t="s">
        <v>33</v>
      </c>
      <c r="B27" s="5" t="s">
        <v>34</v>
      </c>
      <c r="C27" s="5" t="s">
        <v>35</v>
      </c>
      <c r="D27" s="5" t="s">
        <v>36</v>
      </c>
    </row>
    <row r="28" spans="1:4" x14ac:dyDescent="0.3">
      <c r="A28" s="6" t="s">
        <v>63</v>
      </c>
      <c r="B28" s="6" t="s">
        <v>64</v>
      </c>
      <c r="C28" s="6" t="s">
        <v>39</v>
      </c>
      <c r="D28" s="6" t="s">
        <v>40</v>
      </c>
    </row>
    <row r="29" spans="1:4" x14ac:dyDescent="0.3">
      <c r="A29" s="6" t="s">
        <v>65</v>
      </c>
      <c r="B29" s="6" t="s">
        <v>66</v>
      </c>
      <c r="C29" s="6" t="s">
        <v>39</v>
      </c>
      <c r="D29" s="6" t="s">
        <v>40</v>
      </c>
    </row>
    <row r="30" spans="1:4" x14ac:dyDescent="0.3">
      <c r="A30" s="6" t="s">
        <v>67</v>
      </c>
      <c r="B30" s="6" t="s">
        <v>68</v>
      </c>
      <c r="C30" s="6" t="s">
        <v>39</v>
      </c>
      <c r="D30" s="6" t="s">
        <v>40</v>
      </c>
    </row>
    <row r="31" spans="1:4" x14ac:dyDescent="0.3">
      <c r="A31" s="6" t="s">
        <v>69</v>
      </c>
      <c r="B31" s="6" t="s">
        <v>70</v>
      </c>
      <c r="C31" s="6" t="s">
        <v>39</v>
      </c>
      <c r="D31" s="6" t="s">
        <v>40</v>
      </c>
    </row>
    <row r="33" spans="1:4" ht="15.6" x14ac:dyDescent="0.3">
      <c r="A33" s="21" t="s">
        <v>71</v>
      </c>
      <c r="B33" s="22"/>
      <c r="C33" s="22"/>
      <c r="D33" s="22"/>
    </row>
    <row r="34" spans="1:4" x14ac:dyDescent="0.3">
      <c r="A34" s="5" t="s">
        <v>33</v>
      </c>
      <c r="B34" s="5" t="s">
        <v>34</v>
      </c>
      <c r="C34" s="5" t="s">
        <v>35</v>
      </c>
      <c r="D34" s="5" t="s">
        <v>36</v>
      </c>
    </row>
    <row r="35" spans="1:4" ht="27.6" x14ac:dyDescent="0.3">
      <c r="A35" s="6" t="s">
        <v>72</v>
      </c>
      <c r="B35" s="6" t="s">
        <v>73</v>
      </c>
      <c r="C35" s="6" t="s">
        <v>39</v>
      </c>
      <c r="D35" s="6" t="s">
        <v>40</v>
      </c>
    </row>
    <row r="36" spans="1:4" ht="27.6" x14ac:dyDescent="0.3">
      <c r="A36" s="6" t="s">
        <v>74</v>
      </c>
      <c r="B36" s="6" t="s">
        <v>75</v>
      </c>
      <c r="C36" s="6" t="s">
        <v>39</v>
      </c>
      <c r="D36" s="6" t="s">
        <v>40</v>
      </c>
    </row>
    <row r="38" spans="1:4" ht="15.6" x14ac:dyDescent="0.3">
      <c r="A38" s="21" t="s">
        <v>76</v>
      </c>
      <c r="B38" s="22"/>
      <c r="C38" s="22"/>
      <c r="D38" s="22"/>
    </row>
    <row r="39" spans="1:4" x14ac:dyDescent="0.3">
      <c r="A39" s="5" t="s">
        <v>33</v>
      </c>
      <c r="B39" s="5" t="s">
        <v>34</v>
      </c>
      <c r="C39" s="5" t="s">
        <v>35</v>
      </c>
      <c r="D39" s="5" t="s">
        <v>36</v>
      </c>
    </row>
    <row r="40" spans="1:4" ht="27.6" x14ac:dyDescent="0.3">
      <c r="A40" s="6" t="s">
        <v>77</v>
      </c>
      <c r="B40" s="6" t="s">
        <v>78</v>
      </c>
      <c r="C40" s="6" t="s">
        <v>39</v>
      </c>
      <c r="D40" s="6" t="s">
        <v>40</v>
      </c>
    </row>
  </sheetData>
  <mergeCells count="8">
    <mergeCell ref="A1:D1"/>
    <mergeCell ref="A20:D20"/>
    <mergeCell ref="A26:D26"/>
    <mergeCell ref="A3:D3"/>
    <mergeCell ref="A38:D38"/>
    <mergeCell ref="A15:D15"/>
    <mergeCell ref="A33:D33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workbookViewId="0">
      <selection sqref="A1:D1"/>
    </sheetView>
  </sheetViews>
  <sheetFormatPr defaultRowHeight="14.4" x14ac:dyDescent="0.3"/>
  <cols>
    <col min="1" max="1" width="24" customWidth="1"/>
    <col min="2" max="4" width="35" customWidth="1"/>
  </cols>
  <sheetData>
    <row r="1" spans="1:4" x14ac:dyDescent="0.3">
      <c r="A1" s="16" t="s">
        <v>79</v>
      </c>
      <c r="B1" s="17"/>
      <c r="C1" s="17"/>
      <c r="D1" s="17"/>
    </row>
    <row r="3" spans="1:4" ht="15.6" x14ac:dyDescent="0.3">
      <c r="A3" s="21" t="s">
        <v>80</v>
      </c>
      <c r="B3" s="22"/>
      <c r="C3" s="22"/>
      <c r="D3" s="22"/>
    </row>
    <row r="4" spans="1:4" x14ac:dyDescent="0.3">
      <c r="A4" s="5" t="s">
        <v>81</v>
      </c>
      <c r="B4" s="5" t="s">
        <v>82</v>
      </c>
      <c r="C4" s="5" t="s">
        <v>83</v>
      </c>
      <c r="D4" s="5" t="s">
        <v>36</v>
      </c>
    </row>
    <row r="5" spans="1:4" x14ac:dyDescent="0.3">
      <c r="A5" s="6" t="s">
        <v>84</v>
      </c>
      <c r="B5" s="6" t="s">
        <v>85</v>
      </c>
      <c r="C5" s="7" t="s">
        <v>86</v>
      </c>
      <c r="D5" s="6" t="s">
        <v>87</v>
      </c>
    </row>
    <row r="6" spans="1:4" x14ac:dyDescent="0.3">
      <c r="A6" s="6" t="s">
        <v>84</v>
      </c>
      <c r="B6" s="6" t="s">
        <v>88</v>
      </c>
      <c r="C6" s="7" t="s">
        <v>86</v>
      </c>
      <c r="D6" s="6" t="s">
        <v>89</v>
      </c>
    </row>
    <row r="7" spans="1:4" x14ac:dyDescent="0.3">
      <c r="A7" s="6" t="s">
        <v>84</v>
      </c>
      <c r="B7" s="6" t="s">
        <v>90</v>
      </c>
      <c r="C7" s="7" t="s">
        <v>86</v>
      </c>
      <c r="D7" s="6" t="s">
        <v>91</v>
      </c>
    </row>
    <row r="8" spans="1:4" x14ac:dyDescent="0.3">
      <c r="A8" s="6" t="s">
        <v>84</v>
      </c>
      <c r="B8" s="6" t="s">
        <v>92</v>
      </c>
      <c r="C8" s="7" t="s">
        <v>86</v>
      </c>
      <c r="D8" s="6" t="s">
        <v>93</v>
      </c>
    </row>
    <row r="9" spans="1:4" x14ac:dyDescent="0.3">
      <c r="A9" s="6" t="s">
        <v>94</v>
      </c>
      <c r="B9" s="6" t="s">
        <v>95</v>
      </c>
      <c r="C9" s="7" t="s">
        <v>86</v>
      </c>
      <c r="D9" s="6" t="s">
        <v>96</v>
      </c>
    </row>
    <row r="10" spans="1:4" x14ac:dyDescent="0.3">
      <c r="A10" s="6" t="s">
        <v>94</v>
      </c>
      <c r="B10" s="6" t="s">
        <v>97</v>
      </c>
      <c r="C10" s="7" t="s">
        <v>86</v>
      </c>
      <c r="D10" s="6" t="s">
        <v>98</v>
      </c>
    </row>
    <row r="11" spans="1:4" x14ac:dyDescent="0.3">
      <c r="A11" s="6" t="s">
        <v>99</v>
      </c>
      <c r="B11" s="6" t="s">
        <v>100</v>
      </c>
      <c r="C11" s="7" t="s">
        <v>86</v>
      </c>
      <c r="D11" s="6" t="s">
        <v>101</v>
      </c>
    </row>
    <row r="12" spans="1:4" x14ac:dyDescent="0.3">
      <c r="A12" s="6" t="s">
        <v>99</v>
      </c>
      <c r="B12" s="6" t="s">
        <v>102</v>
      </c>
      <c r="C12" s="7" t="s">
        <v>86</v>
      </c>
      <c r="D12" s="6" t="s">
        <v>103</v>
      </c>
    </row>
    <row r="13" spans="1:4" x14ac:dyDescent="0.3">
      <c r="A13" s="6" t="s">
        <v>104</v>
      </c>
      <c r="B13" s="6" t="s">
        <v>105</v>
      </c>
      <c r="C13" s="8" t="s">
        <v>106</v>
      </c>
      <c r="D13" s="6" t="s">
        <v>107</v>
      </c>
    </row>
    <row r="14" spans="1:4" x14ac:dyDescent="0.3">
      <c r="A14" s="6" t="s">
        <v>104</v>
      </c>
      <c r="B14" s="6" t="s">
        <v>108</v>
      </c>
      <c r="C14" s="8" t="s">
        <v>106</v>
      </c>
      <c r="D14" s="6" t="s">
        <v>109</v>
      </c>
    </row>
    <row r="16" spans="1:4" ht="15.6" x14ac:dyDescent="0.3">
      <c r="A16" s="21" t="s">
        <v>110</v>
      </c>
      <c r="B16" s="22"/>
      <c r="C16" s="22"/>
      <c r="D16" s="22"/>
    </row>
    <row r="17" spans="1:4" x14ac:dyDescent="0.3">
      <c r="A17" s="5" t="s">
        <v>111</v>
      </c>
      <c r="B17" s="5" t="s">
        <v>112</v>
      </c>
      <c r="C17" s="5" t="s">
        <v>113</v>
      </c>
      <c r="D17" s="5" t="s">
        <v>114</v>
      </c>
    </row>
    <row r="18" spans="1:4" ht="27.6" x14ac:dyDescent="0.3">
      <c r="A18" s="9" t="s">
        <v>115</v>
      </c>
      <c r="B18" s="6" t="s">
        <v>116</v>
      </c>
      <c r="C18" s="6" t="s">
        <v>117</v>
      </c>
      <c r="D18" s="6" t="s">
        <v>118</v>
      </c>
    </row>
    <row r="19" spans="1:4" ht="27.6" x14ac:dyDescent="0.3">
      <c r="A19" s="9" t="s">
        <v>115</v>
      </c>
      <c r="B19" s="6" t="s">
        <v>119</v>
      </c>
      <c r="C19" s="6" t="s">
        <v>120</v>
      </c>
      <c r="D19" s="6" t="s">
        <v>121</v>
      </c>
    </row>
    <row r="20" spans="1:4" ht="27.6" x14ac:dyDescent="0.3">
      <c r="A20" s="10" t="s">
        <v>122</v>
      </c>
      <c r="B20" s="6" t="s">
        <v>123</v>
      </c>
      <c r="C20" s="6" t="s">
        <v>120</v>
      </c>
      <c r="D20" s="6" t="s">
        <v>124</v>
      </c>
    </row>
    <row r="21" spans="1:4" ht="27.6" x14ac:dyDescent="0.3">
      <c r="A21" s="10" t="s">
        <v>122</v>
      </c>
      <c r="B21" s="6" t="s">
        <v>125</v>
      </c>
      <c r="C21" s="6" t="s">
        <v>117</v>
      </c>
      <c r="D21" s="6" t="s">
        <v>126</v>
      </c>
    </row>
    <row r="22" spans="1:4" ht="27.6" x14ac:dyDescent="0.3">
      <c r="A22" s="10" t="s">
        <v>122</v>
      </c>
      <c r="B22" s="6" t="s">
        <v>127</v>
      </c>
      <c r="C22" s="6" t="s">
        <v>117</v>
      </c>
      <c r="D22" s="6" t="s">
        <v>128</v>
      </c>
    </row>
    <row r="23" spans="1:4" ht="27.6" x14ac:dyDescent="0.3">
      <c r="A23" s="10" t="s">
        <v>122</v>
      </c>
      <c r="B23" s="6" t="s">
        <v>129</v>
      </c>
      <c r="C23" s="6" t="s">
        <v>120</v>
      </c>
      <c r="D23" s="6" t="s">
        <v>130</v>
      </c>
    </row>
  </sheetData>
  <mergeCells count="3">
    <mergeCell ref="A1:D1"/>
    <mergeCell ref="A3:D3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opLeftCell="A9" workbookViewId="0">
      <selection sqref="A1:H1"/>
    </sheetView>
  </sheetViews>
  <sheetFormatPr defaultRowHeight="14.4" x14ac:dyDescent="0.3"/>
  <cols>
    <col min="1" max="1" width="10" customWidth="1"/>
    <col min="2" max="2" width="22" customWidth="1"/>
    <col min="3" max="3" width="30" customWidth="1"/>
    <col min="4" max="4" width="16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x14ac:dyDescent="0.3">
      <c r="A1" s="16" t="s">
        <v>131</v>
      </c>
      <c r="B1" s="17"/>
      <c r="C1" s="17"/>
      <c r="D1" s="17"/>
      <c r="E1" s="17"/>
      <c r="F1" s="17"/>
      <c r="G1" s="17"/>
      <c r="H1" s="17"/>
    </row>
    <row r="2" spans="1:8" ht="25.95" customHeight="1" x14ac:dyDescent="0.3">
      <c r="A2" s="5" t="s">
        <v>132</v>
      </c>
      <c r="B2" s="5" t="s">
        <v>133</v>
      </c>
      <c r="C2" s="5" t="s">
        <v>134</v>
      </c>
      <c r="D2" s="5" t="s">
        <v>111</v>
      </c>
      <c r="E2" s="5" t="s">
        <v>135</v>
      </c>
      <c r="F2" s="5" t="s">
        <v>136</v>
      </c>
      <c r="G2" s="5" t="s">
        <v>137</v>
      </c>
      <c r="H2" s="5" t="s">
        <v>138</v>
      </c>
    </row>
    <row r="3" spans="1:8" ht="28.05" customHeight="1" x14ac:dyDescent="0.3">
      <c r="A3" s="6" t="s">
        <v>139</v>
      </c>
      <c r="B3" s="6" t="s">
        <v>140</v>
      </c>
      <c r="C3" s="6" t="s">
        <v>141</v>
      </c>
      <c r="D3" s="6" t="s">
        <v>142</v>
      </c>
      <c r="E3" s="6" t="s">
        <v>120</v>
      </c>
      <c r="F3" s="6" t="s">
        <v>86</v>
      </c>
      <c r="G3" s="6" t="s">
        <v>143</v>
      </c>
      <c r="H3" s="6" t="s">
        <v>120</v>
      </c>
    </row>
    <row r="4" spans="1:8" ht="28.05" customHeight="1" x14ac:dyDescent="0.3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120</v>
      </c>
      <c r="F4" s="6" t="s">
        <v>86</v>
      </c>
      <c r="G4" s="6" t="s">
        <v>143</v>
      </c>
      <c r="H4" s="6" t="s">
        <v>120</v>
      </c>
    </row>
    <row r="5" spans="1:8" ht="28.05" customHeight="1" x14ac:dyDescent="0.3">
      <c r="A5" s="6" t="s">
        <v>148</v>
      </c>
      <c r="B5" s="6" t="s">
        <v>145</v>
      </c>
      <c r="C5" s="6" t="s">
        <v>149</v>
      </c>
      <c r="D5" s="6" t="s">
        <v>147</v>
      </c>
      <c r="E5" s="6" t="s">
        <v>120</v>
      </c>
      <c r="F5" s="6" t="s">
        <v>86</v>
      </c>
      <c r="G5" s="6" t="s">
        <v>143</v>
      </c>
      <c r="H5" s="6" t="s">
        <v>120</v>
      </c>
    </row>
    <row r="6" spans="1:8" ht="28.05" customHeight="1" x14ac:dyDescent="0.3">
      <c r="A6" s="6" t="s">
        <v>150</v>
      </c>
      <c r="B6" s="6" t="s">
        <v>151</v>
      </c>
      <c r="C6" s="6" t="s">
        <v>152</v>
      </c>
      <c r="D6" s="6" t="s">
        <v>147</v>
      </c>
      <c r="E6" s="6" t="s">
        <v>120</v>
      </c>
      <c r="F6" s="6" t="s">
        <v>86</v>
      </c>
      <c r="G6" s="6" t="s">
        <v>143</v>
      </c>
      <c r="H6" s="6" t="s">
        <v>120</v>
      </c>
    </row>
    <row r="7" spans="1:8" ht="28.05" customHeight="1" x14ac:dyDescent="0.3">
      <c r="A7" s="6" t="s">
        <v>153</v>
      </c>
      <c r="B7" s="6" t="s">
        <v>154</v>
      </c>
      <c r="C7" s="6" t="s">
        <v>155</v>
      </c>
      <c r="D7" s="6" t="s">
        <v>142</v>
      </c>
      <c r="E7" s="6" t="s">
        <v>156</v>
      </c>
      <c r="F7" s="6" t="s">
        <v>86</v>
      </c>
      <c r="G7" s="6" t="s">
        <v>143</v>
      </c>
      <c r="H7" s="6" t="s">
        <v>120</v>
      </c>
    </row>
    <row r="8" spans="1:8" ht="28.05" customHeight="1" x14ac:dyDescent="0.3">
      <c r="A8" s="6" t="s">
        <v>157</v>
      </c>
      <c r="B8" s="6" t="s">
        <v>154</v>
      </c>
      <c r="C8" s="6" t="s">
        <v>158</v>
      </c>
      <c r="D8" s="6" t="s">
        <v>147</v>
      </c>
      <c r="E8" s="6" t="s">
        <v>120</v>
      </c>
      <c r="F8" s="6" t="s">
        <v>86</v>
      </c>
      <c r="G8" s="6" t="s">
        <v>143</v>
      </c>
      <c r="H8" s="6" t="s">
        <v>120</v>
      </c>
    </row>
    <row r="9" spans="1:8" ht="28.05" customHeight="1" x14ac:dyDescent="0.3">
      <c r="A9" s="6" t="s">
        <v>159</v>
      </c>
      <c r="B9" s="6" t="s">
        <v>154</v>
      </c>
      <c r="C9" s="6" t="s">
        <v>160</v>
      </c>
      <c r="D9" s="6" t="s">
        <v>147</v>
      </c>
      <c r="E9" s="6" t="s">
        <v>120</v>
      </c>
      <c r="F9" s="6" t="s">
        <v>86</v>
      </c>
      <c r="G9" s="6" t="s">
        <v>143</v>
      </c>
      <c r="H9" s="6" t="s">
        <v>117</v>
      </c>
    </row>
    <row r="10" spans="1:8" ht="28.05" customHeight="1" x14ac:dyDescent="0.3">
      <c r="A10" s="6" t="s">
        <v>161</v>
      </c>
      <c r="B10" s="6" t="s">
        <v>94</v>
      </c>
      <c r="C10" s="6" t="s">
        <v>162</v>
      </c>
      <c r="D10" s="6" t="s">
        <v>142</v>
      </c>
      <c r="E10" s="6" t="s">
        <v>120</v>
      </c>
      <c r="F10" s="6" t="s">
        <v>86</v>
      </c>
      <c r="G10" s="6" t="s">
        <v>143</v>
      </c>
      <c r="H10" s="6" t="s">
        <v>120</v>
      </c>
    </row>
    <row r="11" spans="1:8" ht="28.05" customHeight="1" x14ac:dyDescent="0.3">
      <c r="A11" s="6" t="s">
        <v>163</v>
      </c>
      <c r="B11" s="6" t="s">
        <v>94</v>
      </c>
      <c r="C11" s="6" t="s">
        <v>164</v>
      </c>
      <c r="D11" s="6" t="s">
        <v>147</v>
      </c>
      <c r="E11" s="6" t="s">
        <v>120</v>
      </c>
      <c r="F11" s="6" t="s">
        <v>86</v>
      </c>
      <c r="G11" s="6" t="s">
        <v>143</v>
      </c>
      <c r="H11" s="6" t="s">
        <v>117</v>
      </c>
    </row>
    <row r="12" spans="1:8" ht="28.05" customHeight="1" x14ac:dyDescent="0.3">
      <c r="A12" s="6" t="s">
        <v>165</v>
      </c>
      <c r="B12" s="6" t="s">
        <v>166</v>
      </c>
      <c r="C12" s="6" t="s">
        <v>167</v>
      </c>
      <c r="D12" s="6" t="s">
        <v>142</v>
      </c>
      <c r="E12" s="6" t="s">
        <v>156</v>
      </c>
      <c r="F12" s="6" t="s">
        <v>168</v>
      </c>
      <c r="G12" s="6" t="s">
        <v>143</v>
      </c>
      <c r="H12" s="6" t="s">
        <v>120</v>
      </c>
    </row>
    <row r="13" spans="1:8" ht="28.05" customHeight="1" x14ac:dyDescent="0.3">
      <c r="A13" s="6" t="s">
        <v>169</v>
      </c>
      <c r="B13" s="6" t="s">
        <v>166</v>
      </c>
      <c r="C13" s="6" t="s">
        <v>170</v>
      </c>
      <c r="D13" s="6" t="s">
        <v>147</v>
      </c>
      <c r="E13" s="6" t="s">
        <v>156</v>
      </c>
      <c r="F13" s="6" t="s">
        <v>168</v>
      </c>
      <c r="G13" s="6" t="s">
        <v>143</v>
      </c>
      <c r="H13" s="6" t="s">
        <v>120</v>
      </c>
    </row>
    <row r="14" spans="1:8" ht="28.05" customHeight="1" x14ac:dyDescent="0.3">
      <c r="A14" s="6" t="s">
        <v>171</v>
      </c>
      <c r="B14" s="6" t="s">
        <v>172</v>
      </c>
      <c r="C14" s="6" t="s">
        <v>173</v>
      </c>
      <c r="D14" s="6" t="s">
        <v>147</v>
      </c>
      <c r="E14" s="6" t="s">
        <v>156</v>
      </c>
      <c r="F14" s="6" t="s">
        <v>168</v>
      </c>
      <c r="G14" s="6" t="s">
        <v>143</v>
      </c>
      <c r="H14" s="6" t="s">
        <v>120</v>
      </c>
    </row>
    <row r="15" spans="1:8" ht="28.05" customHeight="1" x14ac:dyDescent="0.3">
      <c r="A15" s="6" t="s">
        <v>174</v>
      </c>
      <c r="B15" s="6" t="s">
        <v>172</v>
      </c>
      <c r="C15" s="6" t="s">
        <v>175</v>
      </c>
      <c r="D15" s="6" t="s">
        <v>147</v>
      </c>
      <c r="E15" s="6" t="s">
        <v>117</v>
      </c>
      <c r="F15" s="6" t="s">
        <v>86</v>
      </c>
      <c r="G15" s="6" t="s">
        <v>143</v>
      </c>
      <c r="H15" s="6" t="s">
        <v>117</v>
      </c>
    </row>
    <row r="16" spans="1:8" ht="28.05" customHeight="1" x14ac:dyDescent="0.3">
      <c r="A16" s="6" t="s">
        <v>176</v>
      </c>
      <c r="B16" s="6" t="s">
        <v>177</v>
      </c>
      <c r="C16" s="6" t="s">
        <v>178</v>
      </c>
      <c r="D16" s="6" t="s">
        <v>179</v>
      </c>
      <c r="E16" s="6" t="s">
        <v>120</v>
      </c>
      <c r="F16" s="6" t="s">
        <v>106</v>
      </c>
      <c r="G16" s="6" t="s">
        <v>143</v>
      </c>
      <c r="H16" s="6" t="s">
        <v>120</v>
      </c>
    </row>
    <row r="17" spans="1:8" ht="28.05" customHeight="1" x14ac:dyDescent="0.3">
      <c r="A17" s="6" t="s">
        <v>180</v>
      </c>
      <c r="B17" s="6" t="s">
        <v>181</v>
      </c>
      <c r="C17" s="6" t="s">
        <v>182</v>
      </c>
      <c r="D17" s="6" t="s">
        <v>181</v>
      </c>
      <c r="E17" s="6" t="s">
        <v>117</v>
      </c>
      <c r="F17" s="6" t="s">
        <v>106</v>
      </c>
      <c r="G17" s="6" t="s">
        <v>143</v>
      </c>
      <c r="H17" s="6" t="s">
        <v>117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showGridLines="0" topLeftCell="A12" workbookViewId="0">
      <selection sqref="A1:K1"/>
    </sheetView>
  </sheetViews>
  <sheetFormatPr defaultRowHeight="14.4" x14ac:dyDescent="0.3"/>
  <cols>
    <col min="1" max="2" width="10" customWidth="1"/>
    <col min="3" max="3" width="16" customWidth="1"/>
    <col min="4" max="4" width="20" customWidth="1"/>
    <col min="5" max="5" width="22" customWidth="1"/>
    <col min="6" max="6" width="58" customWidth="1"/>
    <col min="7" max="7" width="55" customWidth="1"/>
    <col min="8" max="8" width="16" customWidth="1"/>
    <col min="9" max="11" width="12" customWidth="1"/>
  </cols>
  <sheetData>
    <row r="1" spans="1:11" x14ac:dyDescent="0.3">
      <c r="A1" s="16" t="s">
        <v>183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5.95" customHeight="1" x14ac:dyDescent="0.3">
      <c r="A2" s="5" t="s">
        <v>184</v>
      </c>
      <c r="B2" s="5" t="s">
        <v>185</v>
      </c>
      <c r="C2" s="5" t="s">
        <v>133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111</v>
      </c>
      <c r="I2" s="5" t="s">
        <v>135</v>
      </c>
      <c r="J2" s="5" t="s">
        <v>35</v>
      </c>
      <c r="K2" s="5" t="s">
        <v>137</v>
      </c>
    </row>
    <row r="3" spans="1:11" ht="43.95" customHeight="1" x14ac:dyDescent="0.3">
      <c r="A3" s="6" t="s">
        <v>190</v>
      </c>
      <c r="B3" s="6" t="s">
        <v>144</v>
      </c>
      <c r="C3" s="6" t="s">
        <v>145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147</v>
      </c>
      <c r="I3" s="6" t="s">
        <v>120</v>
      </c>
      <c r="J3" s="6" t="s">
        <v>39</v>
      </c>
      <c r="K3" s="6" t="s">
        <v>195</v>
      </c>
    </row>
    <row r="4" spans="1:11" ht="43.95" customHeight="1" x14ac:dyDescent="0.3">
      <c r="A4" s="6" t="s">
        <v>196</v>
      </c>
      <c r="B4" s="6" t="s">
        <v>148</v>
      </c>
      <c r="C4" s="6" t="s">
        <v>145</v>
      </c>
      <c r="D4" s="6" t="s">
        <v>197</v>
      </c>
      <c r="E4" s="6" t="s">
        <v>198</v>
      </c>
      <c r="F4" s="6" t="s">
        <v>199</v>
      </c>
      <c r="G4" s="6" t="s">
        <v>200</v>
      </c>
      <c r="H4" s="6" t="s">
        <v>147</v>
      </c>
      <c r="I4" s="6" t="s">
        <v>120</v>
      </c>
      <c r="J4" s="6" t="s">
        <v>39</v>
      </c>
      <c r="K4" s="6" t="s">
        <v>195</v>
      </c>
    </row>
    <row r="5" spans="1:11" ht="43.95" customHeight="1" x14ac:dyDescent="0.3">
      <c r="A5" s="6" t="s">
        <v>201</v>
      </c>
      <c r="B5" s="6" t="s">
        <v>148</v>
      </c>
      <c r="C5" s="6" t="s">
        <v>145</v>
      </c>
      <c r="D5" s="6" t="s">
        <v>202</v>
      </c>
      <c r="E5" s="6" t="s">
        <v>198</v>
      </c>
      <c r="F5" s="6" t="s">
        <v>203</v>
      </c>
      <c r="G5" s="6" t="s">
        <v>204</v>
      </c>
      <c r="H5" s="6" t="s">
        <v>147</v>
      </c>
      <c r="I5" s="6" t="s">
        <v>117</v>
      </c>
      <c r="J5" s="6" t="s">
        <v>39</v>
      </c>
      <c r="K5" s="6" t="s">
        <v>195</v>
      </c>
    </row>
    <row r="6" spans="1:11" ht="43.95" customHeight="1" x14ac:dyDescent="0.3">
      <c r="A6" s="6" t="s">
        <v>205</v>
      </c>
      <c r="B6" s="6" t="s">
        <v>150</v>
      </c>
      <c r="C6" s="6" t="s">
        <v>151</v>
      </c>
      <c r="D6" s="6" t="s">
        <v>206</v>
      </c>
      <c r="E6" s="6" t="s">
        <v>207</v>
      </c>
      <c r="F6" s="6" t="s">
        <v>208</v>
      </c>
      <c r="G6" s="6" t="s">
        <v>209</v>
      </c>
      <c r="H6" s="6" t="s">
        <v>147</v>
      </c>
      <c r="I6" s="6" t="s">
        <v>120</v>
      </c>
      <c r="J6" s="6" t="s">
        <v>39</v>
      </c>
      <c r="K6" s="6" t="s">
        <v>195</v>
      </c>
    </row>
    <row r="7" spans="1:11" ht="43.95" customHeight="1" x14ac:dyDescent="0.3">
      <c r="A7" s="6" t="s">
        <v>210</v>
      </c>
      <c r="B7" s="6" t="s">
        <v>153</v>
      </c>
      <c r="C7" s="6" t="s">
        <v>154</v>
      </c>
      <c r="D7" s="6" t="s">
        <v>211</v>
      </c>
      <c r="E7" s="6" t="s">
        <v>212</v>
      </c>
      <c r="F7" s="6" t="s">
        <v>213</v>
      </c>
      <c r="G7" s="6" t="s">
        <v>214</v>
      </c>
      <c r="H7" s="6" t="s">
        <v>142</v>
      </c>
      <c r="I7" s="6" t="s">
        <v>156</v>
      </c>
      <c r="J7" s="6" t="s">
        <v>39</v>
      </c>
      <c r="K7" s="6" t="s">
        <v>195</v>
      </c>
    </row>
    <row r="8" spans="1:11" ht="43.95" customHeight="1" x14ac:dyDescent="0.3">
      <c r="A8" s="6" t="s">
        <v>215</v>
      </c>
      <c r="B8" s="6" t="s">
        <v>157</v>
      </c>
      <c r="C8" s="6" t="s">
        <v>154</v>
      </c>
      <c r="D8" s="6" t="s">
        <v>216</v>
      </c>
      <c r="E8" s="6" t="s">
        <v>217</v>
      </c>
      <c r="F8" s="6" t="s">
        <v>218</v>
      </c>
      <c r="G8" s="6" t="s">
        <v>219</v>
      </c>
      <c r="H8" s="6" t="s">
        <v>147</v>
      </c>
      <c r="I8" s="6" t="s">
        <v>120</v>
      </c>
      <c r="J8" s="6" t="s">
        <v>39</v>
      </c>
      <c r="K8" s="6" t="s">
        <v>195</v>
      </c>
    </row>
    <row r="9" spans="1:11" ht="43.95" customHeight="1" x14ac:dyDescent="0.3">
      <c r="A9" s="6" t="s">
        <v>220</v>
      </c>
      <c r="B9" s="6" t="s">
        <v>159</v>
      </c>
      <c r="C9" s="6" t="s">
        <v>154</v>
      </c>
      <c r="D9" s="6" t="s">
        <v>160</v>
      </c>
      <c r="E9" s="6" t="s">
        <v>217</v>
      </c>
      <c r="F9" s="6" t="s">
        <v>221</v>
      </c>
      <c r="G9" s="6" t="s">
        <v>222</v>
      </c>
      <c r="H9" s="6" t="s">
        <v>147</v>
      </c>
      <c r="I9" s="6" t="s">
        <v>120</v>
      </c>
      <c r="J9" s="6" t="s">
        <v>39</v>
      </c>
      <c r="K9" s="6" t="s">
        <v>195</v>
      </c>
    </row>
    <row r="10" spans="1:11" ht="43.95" customHeight="1" x14ac:dyDescent="0.3">
      <c r="A10" s="6" t="s">
        <v>223</v>
      </c>
      <c r="B10" s="6" t="s">
        <v>161</v>
      </c>
      <c r="C10" s="6" t="s">
        <v>94</v>
      </c>
      <c r="D10" s="6" t="s">
        <v>224</v>
      </c>
      <c r="E10" s="6" t="s">
        <v>225</v>
      </c>
      <c r="F10" s="6" t="s">
        <v>226</v>
      </c>
      <c r="G10" s="6" t="s">
        <v>227</v>
      </c>
      <c r="H10" s="6" t="s">
        <v>142</v>
      </c>
      <c r="I10" s="6" t="s">
        <v>120</v>
      </c>
      <c r="J10" s="6" t="s">
        <v>39</v>
      </c>
      <c r="K10" s="6" t="s">
        <v>195</v>
      </c>
    </row>
    <row r="11" spans="1:11" ht="43.95" customHeight="1" x14ac:dyDescent="0.3">
      <c r="A11" s="6" t="s">
        <v>228</v>
      </c>
      <c r="B11" s="6" t="s">
        <v>163</v>
      </c>
      <c r="C11" s="6" t="s">
        <v>94</v>
      </c>
      <c r="D11" s="6" t="s">
        <v>229</v>
      </c>
      <c r="E11" s="6" t="s">
        <v>230</v>
      </c>
      <c r="F11" s="6" t="s">
        <v>231</v>
      </c>
      <c r="G11" s="6" t="s">
        <v>232</v>
      </c>
      <c r="H11" s="6" t="s">
        <v>147</v>
      </c>
      <c r="I11" s="6" t="s">
        <v>120</v>
      </c>
      <c r="J11" s="6" t="s">
        <v>39</v>
      </c>
      <c r="K11" s="6" t="s">
        <v>195</v>
      </c>
    </row>
    <row r="12" spans="1:11" ht="43.95" customHeight="1" x14ac:dyDescent="0.3">
      <c r="A12" s="6" t="s">
        <v>233</v>
      </c>
      <c r="B12" s="6" t="s">
        <v>165</v>
      </c>
      <c r="C12" s="6" t="s">
        <v>166</v>
      </c>
      <c r="D12" s="6" t="s">
        <v>234</v>
      </c>
      <c r="E12" s="6" t="s">
        <v>235</v>
      </c>
      <c r="F12" s="6" t="s">
        <v>236</v>
      </c>
      <c r="G12" s="6" t="s">
        <v>237</v>
      </c>
      <c r="H12" s="6" t="s">
        <v>142</v>
      </c>
      <c r="I12" s="6" t="s">
        <v>156</v>
      </c>
      <c r="J12" s="6" t="s">
        <v>39</v>
      </c>
      <c r="K12" s="6" t="s">
        <v>195</v>
      </c>
    </row>
    <row r="13" spans="1:11" ht="43.95" customHeight="1" x14ac:dyDescent="0.3">
      <c r="A13" s="6" t="s">
        <v>238</v>
      </c>
      <c r="B13" s="6" t="s">
        <v>165</v>
      </c>
      <c r="C13" s="6" t="s">
        <v>166</v>
      </c>
      <c r="D13" s="6" t="s">
        <v>239</v>
      </c>
      <c r="E13" s="6" t="s">
        <v>240</v>
      </c>
      <c r="F13" s="6" t="s">
        <v>241</v>
      </c>
      <c r="G13" s="6" t="s">
        <v>242</v>
      </c>
      <c r="H13" s="6" t="s">
        <v>147</v>
      </c>
      <c r="I13" s="6" t="s">
        <v>120</v>
      </c>
      <c r="J13" s="6" t="s">
        <v>39</v>
      </c>
      <c r="K13" s="6" t="s">
        <v>195</v>
      </c>
    </row>
    <row r="14" spans="1:11" ht="43.95" customHeight="1" x14ac:dyDescent="0.3">
      <c r="A14" s="6" t="s">
        <v>243</v>
      </c>
      <c r="B14" s="6" t="s">
        <v>169</v>
      </c>
      <c r="C14" s="6" t="s">
        <v>166</v>
      </c>
      <c r="D14" s="6" t="s">
        <v>244</v>
      </c>
      <c r="E14" s="6" t="s">
        <v>245</v>
      </c>
      <c r="F14" s="6" t="s">
        <v>246</v>
      </c>
      <c r="G14" s="6" t="s">
        <v>247</v>
      </c>
      <c r="H14" s="6" t="s">
        <v>147</v>
      </c>
      <c r="I14" s="6" t="s">
        <v>156</v>
      </c>
      <c r="J14" s="6" t="s">
        <v>39</v>
      </c>
      <c r="K14" s="6" t="s">
        <v>195</v>
      </c>
    </row>
    <row r="15" spans="1:11" ht="43.95" customHeight="1" x14ac:dyDescent="0.3">
      <c r="A15" s="6" t="s">
        <v>248</v>
      </c>
      <c r="B15" s="6" t="s">
        <v>169</v>
      </c>
      <c r="C15" s="6" t="s">
        <v>166</v>
      </c>
      <c r="D15" s="6" t="s">
        <v>249</v>
      </c>
      <c r="E15" s="6" t="s">
        <v>250</v>
      </c>
      <c r="F15" s="6" t="s">
        <v>251</v>
      </c>
      <c r="G15" s="6" t="s">
        <v>252</v>
      </c>
      <c r="H15" s="6" t="s">
        <v>147</v>
      </c>
      <c r="I15" s="6" t="s">
        <v>156</v>
      </c>
      <c r="J15" s="6" t="s">
        <v>39</v>
      </c>
      <c r="K15" s="6" t="s">
        <v>195</v>
      </c>
    </row>
    <row r="16" spans="1:11" ht="43.95" customHeight="1" x14ac:dyDescent="0.3">
      <c r="A16" s="6" t="s">
        <v>253</v>
      </c>
      <c r="B16" s="6" t="s">
        <v>171</v>
      </c>
      <c r="C16" s="6" t="s">
        <v>172</v>
      </c>
      <c r="D16" s="6" t="s">
        <v>254</v>
      </c>
      <c r="E16" s="6" t="s">
        <v>255</v>
      </c>
      <c r="F16" s="6" t="s">
        <v>256</v>
      </c>
      <c r="G16" s="6" t="s">
        <v>257</v>
      </c>
      <c r="H16" s="6" t="s">
        <v>147</v>
      </c>
      <c r="I16" s="6" t="s">
        <v>156</v>
      </c>
      <c r="J16" s="6" t="s">
        <v>39</v>
      </c>
      <c r="K16" s="6" t="s">
        <v>195</v>
      </c>
    </row>
    <row r="17" spans="1:11" ht="43.95" customHeight="1" x14ac:dyDescent="0.3">
      <c r="A17" s="6" t="s">
        <v>258</v>
      </c>
      <c r="B17" s="6" t="s">
        <v>174</v>
      </c>
      <c r="C17" s="6" t="s">
        <v>172</v>
      </c>
      <c r="D17" s="6" t="s">
        <v>259</v>
      </c>
      <c r="E17" s="6" t="s">
        <v>260</v>
      </c>
      <c r="F17" s="6" t="s">
        <v>261</v>
      </c>
      <c r="G17" s="6" t="s">
        <v>262</v>
      </c>
      <c r="H17" s="6" t="s">
        <v>147</v>
      </c>
      <c r="I17" s="6" t="s">
        <v>117</v>
      </c>
      <c r="J17" s="6" t="s">
        <v>39</v>
      </c>
      <c r="K17" s="6" t="s">
        <v>195</v>
      </c>
    </row>
    <row r="18" spans="1:11" ht="43.95" customHeight="1" x14ac:dyDescent="0.3">
      <c r="A18" s="6" t="s">
        <v>263</v>
      </c>
      <c r="B18" s="6" t="s">
        <v>176</v>
      </c>
      <c r="C18" s="6" t="s">
        <v>177</v>
      </c>
      <c r="D18" s="6" t="s">
        <v>264</v>
      </c>
      <c r="E18" s="6" t="s">
        <v>265</v>
      </c>
      <c r="F18" s="6" t="s">
        <v>266</v>
      </c>
      <c r="G18" s="6" t="s">
        <v>267</v>
      </c>
      <c r="H18" s="6" t="s">
        <v>179</v>
      </c>
      <c r="I18" s="6" t="s">
        <v>120</v>
      </c>
      <c r="J18" s="6" t="s">
        <v>39</v>
      </c>
      <c r="K18" s="6" t="s">
        <v>195</v>
      </c>
    </row>
    <row r="19" spans="1:11" ht="43.95" customHeight="1" x14ac:dyDescent="0.3">
      <c r="A19" s="6" t="s">
        <v>268</v>
      </c>
      <c r="B19" s="6" t="s">
        <v>180</v>
      </c>
      <c r="C19" s="6" t="s">
        <v>181</v>
      </c>
      <c r="D19" s="6" t="s">
        <v>269</v>
      </c>
      <c r="E19" s="6" t="s">
        <v>270</v>
      </c>
      <c r="F19" s="6" t="s">
        <v>271</v>
      </c>
      <c r="G19" s="6" t="s">
        <v>272</v>
      </c>
      <c r="H19" s="6" t="s">
        <v>181</v>
      </c>
      <c r="I19" s="6" t="s">
        <v>117</v>
      </c>
      <c r="J19" s="6" t="s">
        <v>39</v>
      </c>
      <c r="K19" s="6" t="s">
        <v>195</v>
      </c>
    </row>
  </sheetData>
  <mergeCells count="1">
    <mergeCell ref="A1:K1"/>
  </mergeCells>
  <conditionalFormatting sqref="K3:K200">
    <cfRule type="expression" dxfId="11" priority="1">
      <formula>K3="Pass"</formula>
    </cfRule>
    <cfRule type="expression" dxfId="10" priority="2">
      <formula>K3="Fail"</formula>
    </cfRule>
    <cfRule type="expression" dxfId="9" priority="3">
      <formula>K3="Blocked"</formula>
    </cfRule>
    <cfRule type="expression" dxfId="8" priority="4">
      <formula>K3="Not Run"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>
      <selection activeCell="D13" sqref="D13"/>
    </sheetView>
  </sheetViews>
  <sheetFormatPr defaultRowHeight="14.4" x14ac:dyDescent="0.3"/>
  <cols>
    <col min="1" max="1" width="12" customWidth="1"/>
    <col min="2" max="2" width="38" customWidth="1"/>
    <col min="3" max="5" width="12" customWidth="1"/>
    <col min="6" max="6" width="18" customWidth="1"/>
  </cols>
  <sheetData>
    <row r="1" spans="1:6" ht="29.4" customHeight="1" x14ac:dyDescent="0.3">
      <c r="A1" s="16" t="s">
        <v>273</v>
      </c>
      <c r="B1" s="17"/>
      <c r="C1" s="17"/>
      <c r="D1" s="17"/>
      <c r="E1" s="17"/>
      <c r="F1" s="17"/>
    </row>
    <row r="2" spans="1:6" ht="28.8" x14ac:dyDescent="0.3">
      <c r="A2" s="5" t="s">
        <v>274</v>
      </c>
      <c r="B2" s="5" t="s">
        <v>275</v>
      </c>
      <c r="C2" s="5" t="s">
        <v>132</v>
      </c>
      <c r="D2" s="5" t="s">
        <v>276</v>
      </c>
      <c r="E2" s="5" t="s">
        <v>135</v>
      </c>
      <c r="F2" s="5" t="s">
        <v>277</v>
      </c>
    </row>
    <row r="3" spans="1:6" x14ac:dyDescent="0.3">
      <c r="A3" s="6" t="s">
        <v>278</v>
      </c>
      <c r="B3" s="6" t="s">
        <v>279</v>
      </c>
      <c r="C3" s="6" t="s">
        <v>144</v>
      </c>
      <c r="D3" s="6" t="s">
        <v>190</v>
      </c>
      <c r="E3" s="6" t="s">
        <v>120</v>
      </c>
      <c r="F3" s="6" t="s">
        <v>280</v>
      </c>
    </row>
    <row r="4" spans="1:6" ht="27.6" x14ac:dyDescent="0.3">
      <c r="A4" s="6" t="s">
        <v>281</v>
      </c>
      <c r="B4" s="6" t="s">
        <v>282</v>
      </c>
      <c r="C4" s="6" t="s">
        <v>148</v>
      </c>
      <c r="D4" s="6" t="s">
        <v>283</v>
      </c>
      <c r="E4" s="6" t="s">
        <v>120</v>
      </c>
      <c r="F4" s="6" t="s">
        <v>280</v>
      </c>
    </row>
    <row r="5" spans="1:6" ht="27.6" x14ac:dyDescent="0.3">
      <c r="A5" s="6" t="s">
        <v>284</v>
      </c>
      <c r="B5" s="6" t="s">
        <v>285</v>
      </c>
      <c r="C5" s="6" t="s">
        <v>150</v>
      </c>
      <c r="D5" s="6" t="s">
        <v>205</v>
      </c>
      <c r="E5" s="6" t="s">
        <v>120</v>
      </c>
      <c r="F5" s="6" t="s">
        <v>280</v>
      </c>
    </row>
    <row r="6" spans="1:6" x14ac:dyDescent="0.3">
      <c r="A6" s="6" t="s">
        <v>286</v>
      </c>
      <c r="B6" s="6" t="s">
        <v>287</v>
      </c>
      <c r="C6" s="6" t="s">
        <v>153</v>
      </c>
      <c r="D6" s="6" t="s">
        <v>210</v>
      </c>
      <c r="E6" s="6" t="s">
        <v>156</v>
      </c>
      <c r="F6" s="6" t="s">
        <v>280</v>
      </c>
    </row>
    <row r="7" spans="1:6" ht="27.6" x14ac:dyDescent="0.3">
      <c r="A7" s="6" t="s">
        <v>288</v>
      </c>
      <c r="B7" s="6" t="s">
        <v>289</v>
      </c>
      <c r="C7" s="6" t="s">
        <v>290</v>
      </c>
      <c r="D7" s="6" t="s">
        <v>291</v>
      </c>
      <c r="E7" s="6" t="s">
        <v>120</v>
      </c>
      <c r="F7" s="6" t="s">
        <v>280</v>
      </c>
    </row>
    <row r="8" spans="1:6" x14ac:dyDescent="0.3">
      <c r="A8" s="6" t="s">
        <v>292</v>
      </c>
      <c r="B8" s="6" t="s">
        <v>293</v>
      </c>
      <c r="C8" s="6" t="s">
        <v>161</v>
      </c>
      <c r="D8" s="6" t="s">
        <v>223</v>
      </c>
      <c r="E8" s="6" t="s">
        <v>120</v>
      </c>
      <c r="F8" s="6" t="s">
        <v>280</v>
      </c>
    </row>
    <row r="9" spans="1:6" x14ac:dyDescent="0.3">
      <c r="A9" s="6" t="s">
        <v>294</v>
      </c>
      <c r="B9" s="6" t="s">
        <v>295</v>
      </c>
      <c r="C9" s="6" t="s">
        <v>163</v>
      </c>
      <c r="D9" s="6" t="s">
        <v>228</v>
      </c>
      <c r="E9" s="6" t="s">
        <v>120</v>
      </c>
      <c r="F9" s="6" t="s">
        <v>280</v>
      </c>
    </row>
    <row r="10" spans="1:6" ht="27.6" x14ac:dyDescent="0.3">
      <c r="A10" s="6" t="s">
        <v>296</v>
      </c>
      <c r="B10" s="6" t="s">
        <v>297</v>
      </c>
      <c r="C10" s="6" t="s">
        <v>165</v>
      </c>
      <c r="D10" s="6" t="s">
        <v>298</v>
      </c>
      <c r="E10" s="6" t="s">
        <v>156</v>
      </c>
      <c r="F10" s="6" t="s">
        <v>280</v>
      </c>
    </row>
    <row r="11" spans="1:6" ht="27.6" x14ac:dyDescent="0.3">
      <c r="A11" s="6" t="s">
        <v>299</v>
      </c>
      <c r="B11" s="6" t="s">
        <v>300</v>
      </c>
      <c r="C11" s="6" t="s">
        <v>169</v>
      </c>
      <c r="D11" s="6" t="s">
        <v>301</v>
      </c>
      <c r="E11" s="6" t="s">
        <v>156</v>
      </c>
      <c r="F11" s="6" t="s">
        <v>280</v>
      </c>
    </row>
    <row r="12" spans="1:6" ht="27.6" x14ac:dyDescent="0.3">
      <c r="A12" s="6" t="s">
        <v>302</v>
      </c>
      <c r="B12" s="6" t="s">
        <v>303</v>
      </c>
      <c r="C12" s="6" t="s">
        <v>304</v>
      </c>
      <c r="D12" s="6" t="s">
        <v>305</v>
      </c>
      <c r="E12" s="6" t="s">
        <v>156</v>
      </c>
      <c r="F12" s="6" t="s">
        <v>280</v>
      </c>
    </row>
    <row r="13" spans="1:6" x14ac:dyDescent="0.3">
      <c r="A13" s="6" t="s">
        <v>306</v>
      </c>
      <c r="B13" s="6" t="s">
        <v>307</v>
      </c>
      <c r="C13" s="6" t="s">
        <v>176</v>
      </c>
      <c r="D13" s="6" t="s">
        <v>263</v>
      </c>
      <c r="E13" s="6" t="s">
        <v>120</v>
      </c>
      <c r="F13" s="6" t="s">
        <v>280</v>
      </c>
    </row>
    <row r="14" spans="1:6" x14ac:dyDescent="0.3">
      <c r="A14" s="6" t="s">
        <v>308</v>
      </c>
      <c r="B14" s="6" t="s">
        <v>309</v>
      </c>
      <c r="C14" s="6" t="s">
        <v>180</v>
      </c>
      <c r="D14" s="6" t="s">
        <v>268</v>
      </c>
      <c r="E14" s="6" t="s">
        <v>117</v>
      </c>
      <c r="F14" s="6" t="s">
        <v>280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showGridLines="0" workbookViewId="0">
      <selection sqref="A1:I1"/>
    </sheetView>
  </sheetViews>
  <sheetFormatPr defaultRowHeight="14.4" x14ac:dyDescent="0.3"/>
  <cols>
    <col min="1" max="2" width="10" customWidth="1"/>
    <col min="3" max="3" width="18" customWidth="1"/>
    <col min="4" max="4" width="16" customWidth="1"/>
    <col min="5" max="5" width="12" customWidth="1"/>
    <col min="6" max="8" width="14" customWidth="1"/>
    <col min="9" max="9" width="25" customWidth="1"/>
  </cols>
  <sheetData>
    <row r="1" spans="1:9" ht="24.6" customHeight="1" x14ac:dyDescent="0.3">
      <c r="A1" s="16" t="s">
        <v>310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5" t="s">
        <v>184</v>
      </c>
      <c r="B2" s="5" t="s">
        <v>185</v>
      </c>
      <c r="C2" s="5" t="s">
        <v>133</v>
      </c>
      <c r="D2" s="5" t="s">
        <v>311</v>
      </c>
      <c r="E2" s="5" t="s">
        <v>135</v>
      </c>
      <c r="F2" s="5" t="s">
        <v>312</v>
      </c>
      <c r="G2" s="5" t="s">
        <v>313</v>
      </c>
      <c r="H2" s="5" t="s">
        <v>314</v>
      </c>
      <c r="I2" s="5" t="s">
        <v>315</v>
      </c>
    </row>
    <row r="3" spans="1:9" x14ac:dyDescent="0.3">
      <c r="A3" s="6" t="s">
        <v>190</v>
      </c>
      <c r="B3" s="6" t="s">
        <v>144</v>
      </c>
      <c r="C3" s="6" t="s">
        <v>145</v>
      </c>
      <c r="D3" s="6" t="s">
        <v>316</v>
      </c>
      <c r="E3" s="6" t="s">
        <v>120</v>
      </c>
      <c r="F3" s="6" t="s">
        <v>39</v>
      </c>
      <c r="G3" s="6" t="s">
        <v>40</v>
      </c>
      <c r="H3" s="6" t="s">
        <v>317</v>
      </c>
      <c r="I3" s="6" t="s">
        <v>318</v>
      </c>
    </row>
    <row r="4" spans="1:9" x14ac:dyDescent="0.3">
      <c r="A4" s="6" t="s">
        <v>196</v>
      </c>
      <c r="B4" s="6" t="s">
        <v>148</v>
      </c>
      <c r="C4" s="6" t="s">
        <v>145</v>
      </c>
      <c r="D4" s="6" t="s">
        <v>316</v>
      </c>
      <c r="E4" s="6" t="s">
        <v>120</v>
      </c>
      <c r="F4" s="6" t="s">
        <v>39</v>
      </c>
      <c r="G4" s="6" t="s">
        <v>40</v>
      </c>
      <c r="H4" s="6" t="s">
        <v>317</v>
      </c>
      <c r="I4" s="6" t="s">
        <v>319</v>
      </c>
    </row>
    <row r="5" spans="1:9" ht="27.6" x14ac:dyDescent="0.3">
      <c r="A5" s="6" t="s">
        <v>201</v>
      </c>
      <c r="B5" s="6" t="s">
        <v>148</v>
      </c>
      <c r="C5" s="6" t="s">
        <v>145</v>
      </c>
      <c r="D5" s="6" t="s">
        <v>316</v>
      </c>
      <c r="E5" s="6" t="s">
        <v>117</v>
      </c>
      <c r="F5" s="6" t="s">
        <v>39</v>
      </c>
      <c r="G5" s="6" t="s">
        <v>40</v>
      </c>
      <c r="H5" s="6" t="s">
        <v>320</v>
      </c>
      <c r="I5" s="6" t="s">
        <v>321</v>
      </c>
    </row>
    <row r="6" spans="1:9" x14ac:dyDescent="0.3">
      <c r="A6" s="6" t="s">
        <v>205</v>
      </c>
      <c r="B6" s="6" t="s">
        <v>150</v>
      </c>
      <c r="C6" s="6" t="s">
        <v>151</v>
      </c>
      <c r="D6" s="6" t="s">
        <v>316</v>
      </c>
      <c r="E6" s="6" t="s">
        <v>120</v>
      </c>
      <c r="F6" s="6" t="s">
        <v>39</v>
      </c>
      <c r="G6" s="6" t="s">
        <v>40</v>
      </c>
      <c r="H6" s="6" t="s">
        <v>317</v>
      </c>
      <c r="I6" s="6" t="s">
        <v>322</v>
      </c>
    </row>
    <row r="7" spans="1:9" x14ac:dyDescent="0.3">
      <c r="A7" s="6" t="s">
        <v>210</v>
      </c>
      <c r="B7" s="6" t="s">
        <v>153</v>
      </c>
      <c r="C7" s="6" t="s">
        <v>154</v>
      </c>
      <c r="D7" s="6" t="s">
        <v>316</v>
      </c>
      <c r="E7" s="6" t="s">
        <v>156</v>
      </c>
      <c r="F7" s="6" t="s">
        <v>39</v>
      </c>
      <c r="G7" s="6" t="s">
        <v>40</v>
      </c>
      <c r="H7" s="6" t="s">
        <v>317</v>
      </c>
      <c r="I7" s="6" t="s">
        <v>323</v>
      </c>
    </row>
    <row r="8" spans="1:9" ht="27.6" x14ac:dyDescent="0.3">
      <c r="A8" s="6" t="s">
        <v>215</v>
      </c>
      <c r="B8" s="6" t="s">
        <v>157</v>
      </c>
      <c r="C8" s="6" t="s">
        <v>154</v>
      </c>
      <c r="D8" s="6" t="s">
        <v>316</v>
      </c>
      <c r="E8" s="6" t="s">
        <v>120</v>
      </c>
      <c r="F8" s="6" t="s">
        <v>39</v>
      </c>
      <c r="G8" s="6" t="s">
        <v>40</v>
      </c>
      <c r="H8" s="6" t="s">
        <v>324</v>
      </c>
      <c r="I8" s="6" t="s">
        <v>325</v>
      </c>
    </row>
    <row r="9" spans="1:9" x14ac:dyDescent="0.3">
      <c r="A9" s="6" t="s">
        <v>220</v>
      </c>
      <c r="B9" s="6" t="s">
        <v>159</v>
      </c>
      <c r="C9" s="6" t="s">
        <v>154</v>
      </c>
      <c r="D9" s="6" t="s">
        <v>316</v>
      </c>
      <c r="E9" s="6" t="s">
        <v>120</v>
      </c>
      <c r="F9" s="6" t="s">
        <v>39</v>
      </c>
      <c r="G9" s="6" t="s">
        <v>40</v>
      </c>
      <c r="H9" s="6" t="s">
        <v>317</v>
      </c>
      <c r="I9" s="6" t="s">
        <v>326</v>
      </c>
    </row>
    <row r="10" spans="1:9" x14ac:dyDescent="0.3">
      <c r="A10" s="6" t="s">
        <v>223</v>
      </c>
      <c r="B10" s="6" t="s">
        <v>161</v>
      </c>
      <c r="C10" s="6" t="s">
        <v>94</v>
      </c>
      <c r="D10" s="6" t="s">
        <v>316</v>
      </c>
      <c r="E10" s="6" t="s">
        <v>120</v>
      </c>
      <c r="F10" s="6" t="s">
        <v>39</v>
      </c>
      <c r="G10" s="6" t="s">
        <v>40</v>
      </c>
      <c r="H10" s="6" t="s">
        <v>317</v>
      </c>
      <c r="I10" s="6" t="s">
        <v>327</v>
      </c>
    </row>
    <row r="11" spans="1:9" x14ac:dyDescent="0.3">
      <c r="A11" s="6" t="s">
        <v>228</v>
      </c>
      <c r="B11" s="6" t="s">
        <v>163</v>
      </c>
      <c r="C11" s="6" t="s">
        <v>94</v>
      </c>
      <c r="D11" s="6" t="s">
        <v>316</v>
      </c>
      <c r="E11" s="6" t="s">
        <v>120</v>
      </c>
      <c r="F11" s="6" t="s">
        <v>39</v>
      </c>
      <c r="G11" s="6" t="s">
        <v>40</v>
      </c>
      <c r="H11" s="6" t="s">
        <v>317</v>
      </c>
      <c r="I11" s="6" t="s">
        <v>328</v>
      </c>
    </row>
    <row r="12" spans="1:9" x14ac:dyDescent="0.3">
      <c r="A12" s="6" t="s">
        <v>233</v>
      </c>
      <c r="B12" s="6" t="s">
        <v>165</v>
      </c>
      <c r="C12" s="6" t="s">
        <v>166</v>
      </c>
      <c r="D12" s="6" t="s">
        <v>316</v>
      </c>
      <c r="E12" s="6" t="s">
        <v>156</v>
      </c>
      <c r="F12" s="6" t="s">
        <v>39</v>
      </c>
      <c r="G12" s="6" t="s">
        <v>40</v>
      </c>
      <c r="H12" s="6" t="s">
        <v>317</v>
      </c>
      <c r="I12" s="6" t="s">
        <v>329</v>
      </c>
    </row>
    <row r="13" spans="1:9" ht="27.6" x14ac:dyDescent="0.3">
      <c r="A13" s="6" t="s">
        <v>238</v>
      </c>
      <c r="B13" s="6" t="s">
        <v>165</v>
      </c>
      <c r="C13" s="6" t="s">
        <v>166</v>
      </c>
      <c r="D13" s="6" t="s">
        <v>316</v>
      </c>
      <c r="E13" s="6" t="s">
        <v>120</v>
      </c>
      <c r="F13" s="6" t="s">
        <v>39</v>
      </c>
      <c r="G13" s="6" t="s">
        <v>40</v>
      </c>
      <c r="H13" s="6" t="s">
        <v>317</v>
      </c>
      <c r="I13" s="6" t="s">
        <v>330</v>
      </c>
    </row>
    <row r="14" spans="1:9" x14ac:dyDescent="0.3">
      <c r="A14" s="6" t="s">
        <v>243</v>
      </c>
      <c r="B14" s="6" t="s">
        <v>169</v>
      </c>
      <c r="C14" s="6" t="s">
        <v>166</v>
      </c>
      <c r="D14" s="6" t="s">
        <v>316</v>
      </c>
      <c r="E14" s="6" t="s">
        <v>156</v>
      </c>
      <c r="F14" s="6" t="s">
        <v>39</v>
      </c>
      <c r="G14" s="6" t="s">
        <v>40</v>
      </c>
      <c r="H14" s="6" t="s">
        <v>317</v>
      </c>
      <c r="I14" s="6" t="s">
        <v>331</v>
      </c>
    </row>
    <row r="15" spans="1:9" ht="27.6" x14ac:dyDescent="0.3">
      <c r="A15" s="6" t="s">
        <v>248</v>
      </c>
      <c r="B15" s="6" t="s">
        <v>169</v>
      </c>
      <c r="C15" s="6" t="s">
        <v>166</v>
      </c>
      <c r="D15" s="6" t="s">
        <v>316</v>
      </c>
      <c r="E15" s="6" t="s">
        <v>156</v>
      </c>
      <c r="F15" s="6" t="s">
        <v>39</v>
      </c>
      <c r="G15" s="6" t="s">
        <v>40</v>
      </c>
      <c r="H15" s="6" t="s">
        <v>324</v>
      </c>
      <c r="I15" s="6" t="s">
        <v>332</v>
      </c>
    </row>
    <row r="16" spans="1:9" ht="41.4" x14ac:dyDescent="0.3">
      <c r="A16" s="6" t="s">
        <v>253</v>
      </c>
      <c r="B16" s="6" t="s">
        <v>171</v>
      </c>
      <c r="C16" s="6" t="s">
        <v>172</v>
      </c>
      <c r="D16" s="6" t="s">
        <v>316</v>
      </c>
      <c r="E16" s="6" t="s">
        <v>156</v>
      </c>
      <c r="F16" s="6" t="s">
        <v>39</v>
      </c>
      <c r="G16" s="6" t="s">
        <v>40</v>
      </c>
      <c r="H16" s="6" t="s">
        <v>320</v>
      </c>
      <c r="I16" s="6" t="s">
        <v>333</v>
      </c>
    </row>
    <row r="17" spans="1:9" x14ac:dyDescent="0.3">
      <c r="A17" s="6" t="s">
        <v>258</v>
      </c>
      <c r="B17" s="6" t="s">
        <v>174</v>
      </c>
      <c r="C17" s="6" t="s">
        <v>172</v>
      </c>
      <c r="D17" s="6" t="s">
        <v>316</v>
      </c>
      <c r="E17" s="6" t="s">
        <v>117</v>
      </c>
      <c r="F17" s="6" t="s">
        <v>39</v>
      </c>
      <c r="G17" s="6" t="s">
        <v>40</v>
      </c>
      <c r="H17" s="6" t="s">
        <v>195</v>
      </c>
      <c r="I17" s="6" t="s">
        <v>334</v>
      </c>
    </row>
    <row r="18" spans="1:9" x14ac:dyDescent="0.3">
      <c r="A18" s="6" t="s">
        <v>263</v>
      </c>
      <c r="B18" s="6" t="s">
        <v>176</v>
      </c>
      <c r="C18" s="6" t="s">
        <v>177</v>
      </c>
      <c r="D18" s="6" t="s">
        <v>316</v>
      </c>
      <c r="E18" s="6" t="s">
        <v>120</v>
      </c>
      <c r="F18" s="6" t="s">
        <v>39</v>
      </c>
      <c r="G18" s="6" t="s">
        <v>40</v>
      </c>
      <c r="H18" s="6" t="s">
        <v>317</v>
      </c>
      <c r="I18" s="6" t="s">
        <v>335</v>
      </c>
    </row>
    <row r="19" spans="1:9" x14ac:dyDescent="0.3">
      <c r="A19" s="6" t="s">
        <v>268</v>
      </c>
      <c r="B19" s="6" t="s">
        <v>180</v>
      </c>
      <c r="C19" s="6" t="s">
        <v>181</v>
      </c>
      <c r="D19" s="6" t="s">
        <v>316</v>
      </c>
      <c r="E19" s="6" t="s">
        <v>117</v>
      </c>
      <c r="F19" s="6" t="s">
        <v>39</v>
      </c>
      <c r="G19" s="6" t="s">
        <v>40</v>
      </c>
      <c r="H19" s="6" t="s">
        <v>317</v>
      </c>
      <c r="I19" s="6" t="s">
        <v>336</v>
      </c>
    </row>
  </sheetData>
  <mergeCells count="1">
    <mergeCell ref="A1:I1"/>
  </mergeCells>
  <conditionalFormatting sqref="H3:H200">
    <cfRule type="expression" dxfId="7" priority="1">
      <formula>H3="Pass"</formula>
    </cfRule>
    <cfRule type="expression" dxfId="6" priority="2">
      <formula>H3="Fail"</formula>
    </cfRule>
    <cfRule type="expression" dxfId="5" priority="3">
      <formula>H3="Blocked"</formula>
    </cfRule>
    <cfRule type="expression" dxfId="4" priority="4">
      <formula>H3="Not Run"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showGridLines="0" tabSelected="1" workbookViewId="0">
      <selection activeCell="H13" sqref="H13"/>
    </sheetView>
  </sheetViews>
  <sheetFormatPr defaultRowHeight="14.4" x14ac:dyDescent="0.3"/>
  <cols>
    <col min="1" max="1" width="10" customWidth="1"/>
    <col min="2" max="3" width="18" customWidth="1"/>
    <col min="4" max="4" width="30" customWidth="1"/>
    <col min="5" max="6" width="14" customWidth="1"/>
    <col min="7" max="9" width="12" customWidth="1"/>
    <col min="10" max="10" width="16" customWidth="1"/>
    <col min="11" max="11" width="10" customWidth="1"/>
    <col min="12" max="12" width="20" customWidth="1"/>
  </cols>
  <sheetData>
    <row r="1" spans="1:12" ht="32.4" customHeight="1" x14ac:dyDescent="0.3">
      <c r="A1" s="16" t="s">
        <v>337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5" t="s">
        <v>338</v>
      </c>
      <c r="B2" s="5" t="s">
        <v>339</v>
      </c>
      <c r="C2" s="5" t="s">
        <v>133</v>
      </c>
      <c r="D2" s="5" t="s">
        <v>340</v>
      </c>
      <c r="E2" s="5" t="s">
        <v>341</v>
      </c>
      <c r="F2" s="5" t="s">
        <v>135</v>
      </c>
      <c r="G2" s="5" t="s">
        <v>137</v>
      </c>
      <c r="H2" s="5" t="s">
        <v>342</v>
      </c>
      <c r="I2" s="5" t="s">
        <v>35</v>
      </c>
      <c r="J2" s="5" t="s">
        <v>343</v>
      </c>
      <c r="K2" s="5" t="s">
        <v>344</v>
      </c>
      <c r="L2" s="5" t="s">
        <v>36</v>
      </c>
    </row>
    <row r="3" spans="1:12" ht="27.6" x14ac:dyDescent="0.3">
      <c r="A3" s="6" t="s">
        <v>345</v>
      </c>
      <c r="B3" s="6" t="s">
        <v>215</v>
      </c>
      <c r="C3" s="6" t="s">
        <v>154</v>
      </c>
      <c r="D3" s="6" t="s">
        <v>346</v>
      </c>
      <c r="E3" s="6" t="s">
        <v>120</v>
      </c>
      <c r="F3" s="6" t="s">
        <v>120</v>
      </c>
      <c r="G3" s="6" t="s">
        <v>347</v>
      </c>
      <c r="H3" s="12">
        <v>46126</v>
      </c>
      <c r="I3" s="6" t="s">
        <v>348</v>
      </c>
      <c r="J3" s="11">
        <v>0</v>
      </c>
      <c r="K3" s="6" t="s">
        <v>86</v>
      </c>
      <c r="L3" s="6" t="s">
        <v>349</v>
      </c>
    </row>
    <row r="4" spans="1:12" ht="27.6" x14ac:dyDescent="0.3">
      <c r="A4" s="6" t="s">
        <v>350</v>
      </c>
      <c r="B4" s="6" t="s">
        <v>248</v>
      </c>
      <c r="C4" s="6" t="s">
        <v>166</v>
      </c>
      <c r="D4" s="6" t="s">
        <v>351</v>
      </c>
      <c r="E4" s="6" t="s">
        <v>156</v>
      </c>
      <c r="F4" s="6" t="s">
        <v>156</v>
      </c>
      <c r="G4" s="6" t="s">
        <v>347</v>
      </c>
      <c r="H4" s="12">
        <v>46126</v>
      </c>
      <c r="I4" s="6" t="s">
        <v>348</v>
      </c>
      <c r="J4" s="11">
        <v>0</v>
      </c>
      <c r="K4" s="6" t="s">
        <v>86</v>
      </c>
      <c r="L4" s="6" t="s">
        <v>352</v>
      </c>
    </row>
    <row r="5" spans="1:12" ht="27.6" x14ac:dyDescent="0.3">
      <c r="A5" s="6" t="s">
        <v>353</v>
      </c>
      <c r="B5" s="6" t="s">
        <v>253</v>
      </c>
      <c r="C5" s="6" t="s">
        <v>172</v>
      </c>
      <c r="D5" s="6" t="s">
        <v>354</v>
      </c>
      <c r="E5" s="6" t="s">
        <v>117</v>
      </c>
      <c r="F5" s="6" t="s">
        <v>117</v>
      </c>
      <c r="G5" s="6" t="s">
        <v>320</v>
      </c>
      <c r="H5" s="12">
        <v>46126</v>
      </c>
      <c r="I5" s="6" t="s">
        <v>39</v>
      </c>
      <c r="J5" s="11">
        <v>0</v>
      </c>
      <c r="K5" s="6" t="s">
        <v>86</v>
      </c>
      <c r="L5" s="6" t="s">
        <v>355</v>
      </c>
    </row>
  </sheetData>
  <mergeCells count="1">
    <mergeCell ref="A1:L1"/>
  </mergeCells>
  <conditionalFormatting sqref="E3:E200">
    <cfRule type="expression" dxfId="3" priority="1">
      <formula>E3="Critical"</formula>
    </cfRule>
    <cfRule type="expression" dxfId="2" priority="2">
      <formula>E3="High"</formula>
    </cfRule>
  </conditionalFormatting>
  <conditionalFormatting sqref="G3:G200">
    <cfRule type="expression" dxfId="1" priority="3">
      <formula>G3="Open"</formula>
    </cfRule>
    <cfRule type="expression" dxfId="0" priority="4">
      <formula>G3="Closed"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9"/>
  <sheetViews>
    <sheetView showGridLines="0" workbookViewId="0"/>
  </sheetViews>
  <sheetFormatPr defaultRowHeight="14.4" x14ac:dyDescent="0.3"/>
  <cols>
    <col min="1" max="1" width="20" customWidth="1"/>
    <col min="2" max="2" width="14" customWidth="1"/>
    <col min="3" max="8" width="16" customWidth="1"/>
  </cols>
  <sheetData>
    <row r="1" spans="1:8" ht="22.05" customHeight="1" x14ac:dyDescent="0.3">
      <c r="A1" s="16" t="s">
        <v>356</v>
      </c>
      <c r="B1" s="17"/>
      <c r="C1" s="17"/>
      <c r="D1" s="17"/>
      <c r="E1" s="17"/>
      <c r="F1" s="17"/>
      <c r="G1" s="17"/>
      <c r="H1" s="17"/>
    </row>
    <row r="2" spans="1:8" ht="22.05" customHeight="1" x14ac:dyDescent="0.3"/>
    <row r="3" spans="1:8" ht="22.05" customHeight="1" x14ac:dyDescent="0.3">
      <c r="A3" s="31" t="s">
        <v>357</v>
      </c>
      <c r="B3" s="15"/>
      <c r="C3" s="31" t="s">
        <v>358</v>
      </c>
      <c r="D3" s="15"/>
      <c r="E3" s="31" t="s">
        <v>359</v>
      </c>
      <c r="F3" s="15"/>
      <c r="G3" s="31" t="s">
        <v>320</v>
      </c>
      <c r="H3" s="15"/>
    </row>
    <row r="4" spans="1:8" ht="22.05" customHeight="1" x14ac:dyDescent="0.3">
      <c r="A4" s="28">
        <f>COUNTA('Execution Tracker'!A3:A200)</f>
        <v>17</v>
      </c>
      <c r="B4" s="24"/>
      <c r="C4" s="27">
        <f>COUNTIF('Execution Tracker'!H3:H200,"Pass")</f>
        <v>12</v>
      </c>
      <c r="D4" s="24"/>
      <c r="E4" s="30">
        <f>COUNTIF('Execution Tracker'!H3:H200,"Fail")</f>
        <v>2</v>
      </c>
      <c r="F4" s="24"/>
      <c r="G4" s="29">
        <f>COUNTIF('Execution Tracker'!H3:H200,"Blocked")</f>
        <v>2</v>
      </c>
      <c r="H4" s="24"/>
    </row>
    <row r="5" spans="1:8" ht="22.05" customHeight="1" x14ac:dyDescent="0.3">
      <c r="A5" s="25"/>
      <c r="B5" s="26"/>
      <c r="C5" s="25"/>
      <c r="D5" s="26"/>
      <c r="E5" s="25"/>
      <c r="F5" s="26"/>
      <c r="G5" s="25"/>
      <c r="H5" s="26"/>
    </row>
    <row r="6" spans="1:8" ht="22.05" customHeight="1" x14ac:dyDescent="0.3"/>
    <row r="7" spans="1:8" ht="22.05" customHeight="1" x14ac:dyDescent="0.3">
      <c r="A7" s="31" t="s">
        <v>195</v>
      </c>
      <c r="B7" s="15"/>
      <c r="C7" s="31" t="s">
        <v>360</v>
      </c>
      <c r="D7" s="15"/>
      <c r="E7" s="31" t="s">
        <v>361</v>
      </c>
      <c r="F7" s="15"/>
      <c r="G7" s="31" t="s">
        <v>362</v>
      </c>
      <c r="H7" s="15"/>
    </row>
    <row r="8" spans="1:8" ht="22.05" customHeight="1" x14ac:dyDescent="0.3">
      <c r="A8" s="32">
        <f>COUNTIF('Execution Tracker'!H3:H200,"Not Run")</f>
        <v>1</v>
      </c>
      <c r="B8" s="24"/>
      <c r="C8" s="23">
        <f>IF(A4=0,0,(A4-A8)/A4)</f>
        <v>0.94117647058823528</v>
      </c>
      <c r="D8" s="24"/>
      <c r="E8" s="34">
        <f>COUNTIF('Bug Tracker'!G3:G200,"Open")</f>
        <v>2</v>
      </c>
      <c r="F8" s="24"/>
      <c r="G8" s="33">
        <f>COUNTIFS('Bug Tracker'!E3:E200,"Critical",'Bug Tracker'!G3:G200,"Open")</f>
        <v>1</v>
      </c>
      <c r="H8" s="24"/>
    </row>
    <row r="9" spans="1:8" ht="22.05" customHeight="1" x14ac:dyDescent="0.3">
      <c r="A9" s="25"/>
      <c r="B9" s="26"/>
      <c r="C9" s="25"/>
      <c r="D9" s="26"/>
      <c r="E9" s="25"/>
      <c r="F9" s="26"/>
      <c r="G9" s="25"/>
      <c r="H9" s="26"/>
    </row>
    <row r="10" spans="1:8" ht="22.05" customHeight="1" x14ac:dyDescent="0.3"/>
    <row r="11" spans="1:8" ht="22.05" customHeight="1" x14ac:dyDescent="0.3"/>
    <row r="12" spans="1:8" ht="22.05" customHeight="1" x14ac:dyDescent="0.3">
      <c r="A12" s="5" t="s">
        <v>314</v>
      </c>
      <c r="B12" s="5" t="s">
        <v>363</v>
      </c>
      <c r="D12" s="5" t="s">
        <v>341</v>
      </c>
      <c r="E12" s="5" t="s">
        <v>364</v>
      </c>
    </row>
    <row r="13" spans="1:8" ht="22.05" customHeight="1" x14ac:dyDescent="0.3">
      <c r="A13" s="4" t="s">
        <v>317</v>
      </c>
      <c r="B13" s="4">
        <f>COUNTIF('Execution Tracker'!H3:H200,"Pass")</f>
        <v>12</v>
      </c>
      <c r="D13" s="4" t="s">
        <v>156</v>
      </c>
      <c r="E13" s="4">
        <f>COUNTIFS('Bug Tracker'!E3:E200,"Critical",'Bug Tracker'!G3:G200,"Open")</f>
        <v>1</v>
      </c>
    </row>
    <row r="14" spans="1:8" ht="22.05" customHeight="1" x14ac:dyDescent="0.3">
      <c r="A14" s="4" t="s">
        <v>324</v>
      </c>
      <c r="B14" s="4">
        <f>COUNTIF('Execution Tracker'!H3:H200,"Fail")</f>
        <v>2</v>
      </c>
      <c r="D14" s="4" t="s">
        <v>120</v>
      </c>
      <c r="E14" s="4">
        <f>COUNTIFS('Bug Tracker'!E3:E200,"High",'Bug Tracker'!G3:G200,"Open")</f>
        <v>1</v>
      </c>
    </row>
    <row r="15" spans="1:8" ht="22.05" customHeight="1" x14ac:dyDescent="0.3">
      <c r="A15" s="4" t="s">
        <v>320</v>
      </c>
      <c r="B15" s="4">
        <f>COUNTIF('Execution Tracker'!H3:H200,"Blocked")</f>
        <v>2</v>
      </c>
      <c r="D15" s="4" t="s">
        <v>117</v>
      </c>
      <c r="E15" s="4">
        <f>COUNTIFS('Bug Tracker'!E3:E200,"Medium",'Bug Tracker'!G3:G200,"Open")</f>
        <v>0</v>
      </c>
    </row>
    <row r="16" spans="1:8" ht="22.05" customHeight="1" x14ac:dyDescent="0.3">
      <c r="A16" s="4" t="s">
        <v>195</v>
      </c>
      <c r="B16" s="4">
        <f>COUNTIF('Execution Tracker'!H3:H200,"Not Run")</f>
        <v>1</v>
      </c>
      <c r="D16" s="4" t="s">
        <v>365</v>
      </c>
      <c r="E16" s="4">
        <f>COUNTIFS('Bug Tracker'!E3:E200,"Low",'Bug Tracker'!G3:G200,"Open")</f>
        <v>0</v>
      </c>
    </row>
    <row r="17" ht="22.05" customHeight="1" x14ac:dyDescent="0.3"/>
    <row r="18" ht="22.05" customHeight="1" x14ac:dyDescent="0.3"/>
    <row r="19" ht="22.05" customHeight="1" x14ac:dyDescent="0.3"/>
    <row r="20" ht="22.05" customHeight="1" x14ac:dyDescent="0.3"/>
    <row r="21" ht="22.05" customHeight="1" x14ac:dyDescent="0.3"/>
    <row r="22" ht="22.05" customHeight="1" x14ac:dyDescent="0.3"/>
    <row r="23" ht="22.05" customHeight="1" x14ac:dyDescent="0.3"/>
    <row r="24" ht="22.05" customHeight="1" x14ac:dyDescent="0.3"/>
    <row r="25" ht="22.05" customHeight="1" x14ac:dyDescent="0.3"/>
    <row r="26" ht="22.05" customHeight="1" x14ac:dyDescent="0.3"/>
    <row r="27" ht="22.05" customHeight="1" x14ac:dyDescent="0.3"/>
    <row r="28" ht="22.05" customHeight="1" x14ac:dyDescent="0.3"/>
    <row r="29" ht="22.05" customHeight="1" x14ac:dyDescent="0.3"/>
    <row r="30" ht="22.05" customHeight="1" x14ac:dyDescent="0.3"/>
    <row r="31" ht="22.05" customHeight="1" x14ac:dyDescent="0.3"/>
    <row r="32" ht="22.0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</sheetData>
  <mergeCells count="17">
    <mergeCell ref="A1:H1"/>
    <mergeCell ref="E8:F9"/>
    <mergeCell ref="C3:D3"/>
    <mergeCell ref="A3:B3"/>
    <mergeCell ref="G3:H3"/>
    <mergeCell ref="E3:F3"/>
    <mergeCell ref="C8:D9"/>
    <mergeCell ref="C4:D5"/>
    <mergeCell ref="A4:B5"/>
    <mergeCell ref="G4:H5"/>
    <mergeCell ref="E4:F5"/>
    <mergeCell ref="C7:D7"/>
    <mergeCell ref="A7:B7"/>
    <mergeCell ref="G7:H7"/>
    <mergeCell ref="E7:F7"/>
    <mergeCell ref="A8:B9"/>
    <mergeCell ref="G8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 Plan</vt:lpstr>
      <vt:lpstr>Scope &amp; Risks</vt:lpstr>
      <vt:lpstr>Scenarios</vt:lpstr>
      <vt:lpstr>Test Cases</vt:lpstr>
      <vt:lpstr>RTM</vt:lpstr>
      <vt:lpstr>Execution Tracker</vt:lpstr>
      <vt:lpstr>Bug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Joseph Velasquez</dc:creator>
  <cp:lastModifiedBy>Alain Joseph Velasquez</cp:lastModifiedBy>
  <dcterms:created xsi:type="dcterms:W3CDTF">2026-04-14T02:13:58Z</dcterms:created>
  <dcterms:modified xsi:type="dcterms:W3CDTF">2026-04-14T02:13:59Z</dcterms:modified>
</cp:coreProperties>
</file>